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 &amp; Fixed Costs" sheetId="2" state="visible" r:id="rId2"/>
    <sheet name="Office Register" sheetId="3" state="visible" r:id="rId3"/>
    <sheet name="CVP Dashboard" sheetId="4" state="visible" r:id="rId4"/>
    <sheet name="New Office Evalu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.00_);_($* (#,##0.00);_($* &quot;-&quot;_);_(@_)"/>
    <numFmt numFmtId="165" formatCode="_($* #,##0_);_($* (#,##0);_($* &quot;-&quot;_);_(@_)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23286C"/>
      <sz val="20"/>
    </font>
    <font>
      <name val="Calibri"/>
      <b val="1"/>
      <color rgb="00B8924E"/>
      <sz val="14"/>
    </font>
    <font>
      <name val="Calibri"/>
      <b val="1"/>
      <color rgb="0023286C"/>
      <sz val="12"/>
    </font>
    <font>
      <name val="Calibri"/>
      <color rgb="001B1B25"/>
      <sz val="11"/>
    </font>
    <font>
      <name val="Calibri"/>
      <color rgb="006B6B78"/>
      <sz val="11"/>
    </font>
    <font>
      <name val="Calibri"/>
      <b val="1"/>
      <color rgb="0023286C"/>
      <sz val="11"/>
    </font>
    <font>
      <name val="Calibri"/>
      <b val="1"/>
      <color rgb="0023286C"/>
      <sz val="16"/>
    </font>
    <font>
      <name val="Calibri"/>
      <b val="1"/>
      <color rgb="001B1B25"/>
      <sz val="11"/>
    </font>
    <font>
      <name val="Calibri"/>
      <i val="1"/>
      <color rgb="006B6B78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E7A4D"/>
      <sz val="11"/>
    </font>
    <font>
      <name val="Calibri"/>
      <i val="1"/>
      <color rgb="006B6B78"/>
      <sz val="10"/>
    </font>
    <font>
      <name val="Calibri"/>
      <b val="1"/>
      <color rgb="00B23A2E"/>
      <sz val="11"/>
    </font>
    <font>
      <name val="Calibri"/>
      <i val="1"/>
      <color rgb="00B23A2E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CE6F5"/>
      </patternFill>
    </fill>
    <fill>
      <patternFill patternType="solid">
        <fgColor rgb="0023286C"/>
      </patternFill>
    </fill>
    <fill>
      <patternFill patternType="solid">
        <fgColor rgb="001A1E52"/>
      </patternFill>
    </fill>
    <fill>
      <patternFill patternType="solid">
        <fgColor rgb="00F7F3EC"/>
      </patternFill>
    </fill>
  </fills>
  <borders count="3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  <border>
      <top style="medium">
        <color rgb="00CBA96A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vertical="center"/>
    </xf>
    <xf numFmtId="165" fontId="3" fillId="5" borderId="2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4" fillId="2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Contribution vs Fixed Costs by Office Count</a:t>
            </a:r>
          </a:p>
        </rich>
      </tx>
    </title>
    <plotArea>
      <lineChart>
        <grouping val="standard"/>
        <ser>
          <idx val="0"/>
          <order val="0"/>
          <tx>
            <strRef>
              <f>'CVP Dashboard'!F20</f>
            </strRef>
          </tx>
          <spPr>
            <a:ln w="28000">
              <a:solidFill>
                <a:srgbClr val="23286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'CVP Dashboard'!$E$21:$E$50</f>
            </numRef>
          </cat>
          <val>
            <numRef>
              <f>'CVP Dashboard'!$F$21:$F$50</f>
            </numRef>
          </val>
        </ser>
        <ser>
          <idx val="1"/>
          <order val="1"/>
          <tx>
            <strRef>
              <f>'CVP Dashboard'!G20</f>
            </strRef>
          </tx>
          <spPr>
            <a:ln w="28000">
              <a:solidFill>
                <a:srgbClr val="B8924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'CVP Dashboard'!$E$21:$E$50</f>
            </numRef>
          </cat>
          <val>
            <numRef>
              <f>'CVP Dashboard'!$G$21:$G$50</f>
            </numRef>
          </val>
        </ser>
        <ser>
          <idx val="2"/>
          <order val="2"/>
          <tx>
            <strRef>
              <f>'CVP Dashboard'!H20</f>
            </strRef>
          </tx>
          <spPr>
            <a:ln w="28000">
              <a:solidFill>
                <a:srgbClr val="1E7A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'CVP Dashboard'!$E$21:$E$50</f>
            </numRef>
          </cat>
          <val>
            <numRef>
              <f>'CVP Dashboard'!$H$21:$H$50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# Offices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Annual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28" customHeight="1">
      <c r="B1" s="1" t="inlineStr">
        <is>
          <t>ROSSBY FINANCIAL</t>
        </is>
      </c>
    </row>
    <row r="2" ht="22" customHeight="1">
      <c r="B2" s="2" t="inlineStr">
        <is>
          <t>Multi-Office CVP (Cost-Volume-Profit) &amp; Breakeven Model</t>
        </is>
      </c>
    </row>
    <row r="4">
      <c r="B4" s="3" t="inlineStr">
        <is>
          <t>What this model answers</t>
        </is>
      </c>
    </row>
    <row r="5" ht="30" customHeight="1">
      <c r="B5" s="4" t="inlineStr">
        <is>
          <t>How many advisor offices does Rossby need to cover its firm-wide fixed costs, and how does that breakeven move as we add offices? It also tracks every existing office's contribution to the firm.</t>
        </is>
      </c>
    </row>
    <row r="7">
      <c r="B7" s="3" t="inlineStr">
        <is>
          <t>How the tabs fit together</t>
        </is>
      </c>
    </row>
    <row r="8" ht="30" customHeight="1">
      <c r="B8" s="4" t="inlineStr">
        <is>
          <t>1.  Assumptions &amp; Fixed Costs  —  set the annualization factor and toggle which P&amp;L lines are ongoing fixed costs. Produces Total Go-Forward Annual Fixed Costs. Holds the editable pricing-engine tiers.</t>
        </is>
      </c>
    </row>
    <row r="9" ht="30" customHeight="1">
      <c r="B9" s="4" t="inlineStr">
        <is>
          <t>2.  Office Register  —  every office (18 existing, preloaded from the 2026 Billing book) with its revenue to Rossby and contribution. Add prospects in the blank rows.</t>
        </is>
      </c>
    </row>
    <row r="10" ht="30" customHeight="1">
      <c r="B10" s="4" t="inlineStr">
        <is>
          <t>3.  CVP Dashboard  —  the headline: total contribution vs fixed costs, firm net income, breakeven office count, and how the per-office breakeven bar falls as offices are added.</t>
        </is>
      </c>
    </row>
    <row r="11" ht="30" customHeight="1">
      <c r="B11" s="4" t="inlineStr">
        <is>
          <t>4.  New Office Evaluator  —  price a prospective office off the tiered engine and see its marginal effect on firm net income and breakeven.</t>
        </is>
      </c>
    </row>
    <row r="13">
      <c r="B13" s="3" t="inlineStr">
        <is>
          <t>Key definitions</t>
        </is>
      </c>
    </row>
    <row r="14" ht="30" customHeight="1">
      <c r="B14" s="4" t="inlineStr">
        <is>
          <t>Contribution (per office)  =  Revenue to Rossby  −  Cost to Serve.  This is what each office contributes toward covering firm fixed costs. Rossby's revenue is platform/billing revenue (base + per-account + per-advisor fees), NOT the advisory fees that pass through to advisors.</t>
        </is>
      </c>
    </row>
    <row r="16" ht="30" customHeight="1">
      <c r="B16" s="4" t="inlineStr">
        <is>
          <t>Fixed Costs  =  Rossby's own overhead (software, payroll, rent, compliance, etc.) that does not scale one-for-one with each office. Taken from the P&amp;L, annualized, with the paid-off debt and one-time items removed via the toggles on Tab 2.</t>
        </is>
      </c>
    </row>
    <row r="18" ht="30" customHeight="1">
      <c r="B18" s="4" t="inlineStr">
        <is>
          <t>Breakeven # of offices  =  Fixed Costs  ÷  Average Contribution per Office.  The per-office breakeven THRESHOLD (Fixed ÷ N) falls as you add offices, because the fixed base is shared across more offices.</t>
        </is>
      </c>
    </row>
    <row r="20">
      <c r="B20" s="3" t="inlineStr">
        <is>
          <t>Data sources</t>
        </is>
      </c>
    </row>
    <row r="21" ht="30" customHeight="1">
      <c r="B21" s="5" t="inlineStr">
        <is>
          <t>•  P&amp;L: Rossby Financial LLC Profit &amp; Loss, Jan 1 – Jul 1 2026 (6 months, cash basis).</t>
        </is>
      </c>
    </row>
    <row r="22" ht="30" customHeight="1">
      <c r="B22" s="5" t="inlineStr">
        <is>
          <t>•  Offices: Rossby 2026 Billing workbook, tab "2026 Billing" (18 active offices, 2,847 accounts, 28 IARs).</t>
        </is>
      </c>
    </row>
    <row r="23" ht="30" customHeight="1">
      <c r="B23" s="5" t="inlineStr">
        <is>
          <t>•  Pricing engine (base + per-account + per-advisor tiers) is ported from the advisor-facing calculator (index.html) so both tools price offices identically.</t>
        </is>
      </c>
    </row>
    <row r="25">
      <c r="B25" s="3" t="inlineStr">
        <is>
          <t>Editing &amp; assumptions</t>
        </is>
      </c>
    </row>
    <row r="26" ht="30" customHeight="1">
      <c r="B26" s="4" t="inlineStr">
        <is>
          <t>Blue-tinted cells are inputs — edit them freely. Everything else is a live formula and recalculates. The annualization factor (Tab 2) defaults to 2 (×2 to turn the 6-month P&amp;L into an annual run-rate); change it to 1 to work in the actual 6-month period.</t>
        </is>
      </c>
    </row>
    <row r="28">
      <c r="B28" s="3" t="inlineStr">
        <is>
          <t>Reconciliation check</t>
        </is>
      </c>
    </row>
    <row r="29" ht="30" customHeight="1">
      <c r="B29" s="4" t="inlineStr">
        <is>
          <t>To tie back to the P&amp;L: on Tab 2 set the factor to 1 and switch Interest, Suspense and Conference to "Y". Total fixed then equals the P&amp;L's $322,189 operating expense.</t>
        </is>
      </c>
    </row>
    <row r="31">
      <c r="B31" s="6" t="inlineStr">
        <is>
          <t xml:space="preserve">  Input cell (edit me)</t>
        </is>
      </c>
    </row>
  </sheetData>
  <mergeCells count="1">
    <mergeCell ref="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46" customWidth="1" min="2" max="2"/>
    <col width="15" customWidth="1" min="3" max="3"/>
    <col width="11" customWidth="1" min="4" max="4"/>
    <col width="14" customWidth="1" min="5" max="5"/>
    <col width="16" customWidth="1" min="6" max="6"/>
    <col width="42" customWidth="1" min="7" max="7"/>
  </cols>
  <sheetData>
    <row r="1" ht="24" customHeight="1">
      <c r="B1" s="7" t="inlineStr">
        <is>
          <t>Assumptions &amp; Fixed Costs</t>
        </is>
      </c>
    </row>
    <row r="3">
      <c r="B3" s="8" t="inlineStr">
        <is>
          <t>P&amp;L period</t>
        </is>
      </c>
      <c r="C3" s="9" t="inlineStr">
        <is>
          <t>Jan 1 – Jul 1 2026 (6 mo)</t>
        </is>
      </c>
    </row>
    <row r="4">
      <c r="B4" s="8" t="inlineStr">
        <is>
          <t>Annualization factor</t>
        </is>
      </c>
      <c r="C4" s="10" t="n">
        <v>2</v>
      </c>
      <c r="D4" s="11" t="inlineStr">
        <is>
          <t>×  (2 = annualize; 1 = keep 6-mo actuals)</t>
        </is>
      </c>
    </row>
    <row r="6" ht="24" customHeight="1">
      <c r="B6" s="12" t="inlineStr">
        <is>
          <t>GO-FORWARD FIXED COSTS  (Rossby firm overhead)</t>
        </is>
      </c>
      <c r="C6" s="13" t="n"/>
      <c r="D6" s="13" t="n"/>
      <c r="E6" s="13" t="n"/>
      <c r="F6" s="13" t="n"/>
      <c r="G6" s="13" t="n"/>
    </row>
    <row r="7">
      <c r="B7" s="14" t="inlineStr">
        <is>
          <t>Expense line</t>
        </is>
      </c>
      <c r="C7" s="15" t="inlineStr">
        <is>
          <t>6-mo Actual</t>
        </is>
      </c>
      <c r="D7" s="15" t="inlineStr">
        <is>
          <t>Include?</t>
        </is>
      </c>
      <c r="E7" s="15" t="inlineStr">
        <is>
          <t>Recurring?</t>
        </is>
      </c>
      <c r="F7" s="15" t="inlineStr">
        <is>
          <t>Annualized</t>
        </is>
      </c>
      <c r="G7" s="15" t="inlineStr">
        <is>
          <t>Note</t>
        </is>
      </c>
    </row>
    <row r="8">
      <c r="B8" s="16" t="inlineStr">
        <is>
          <t>Advertising &amp; Marketing</t>
        </is>
      </c>
      <c r="C8" s="17" t="n">
        <v>15281</v>
      </c>
      <c r="D8" s="18" t="inlineStr">
        <is>
          <t>Y</t>
        </is>
      </c>
      <c r="E8" s="19" t="inlineStr">
        <is>
          <t>Y</t>
        </is>
      </c>
      <c r="F8" s="20">
        <f>C8*'Assumptions &amp; Fixed Costs'!$C$4*IF(D8="Y",1,0)</f>
        <v/>
      </c>
      <c r="G8" s="21" t="inlineStr">
        <is>
          <t>Recurring</t>
        </is>
      </c>
    </row>
    <row r="9">
      <c r="B9" s="16" t="inlineStr">
        <is>
          <t>Bank Fees</t>
        </is>
      </c>
      <c r="C9" s="17" t="n">
        <v>3157.35</v>
      </c>
      <c r="D9" s="18" t="inlineStr">
        <is>
          <t>Y</t>
        </is>
      </c>
      <c r="E9" s="19" t="inlineStr">
        <is>
          <t>Y</t>
        </is>
      </c>
      <c r="F9" s="20">
        <f>C9*'Assumptions &amp; Fixed Costs'!$C$4*IF(D9="Y",1,0)</f>
        <v/>
      </c>
      <c r="G9" s="21" t="inlineStr">
        <is>
          <t>Recurring</t>
        </is>
      </c>
    </row>
    <row r="10">
      <c r="B10" s="16" t="inlineStr">
        <is>
          <t>Contractor Expense - G&amp;A</t>
        </is>
      </c>
      <c r="C10" s="17" t="n">
        <v>1272.5</v>
      </c>
      <c r="D10" s="18" t="inlineStr">
        <is>
          <t>Y</t>
        </is>
      </c>
      <c r="E10" s="19" t="inlineStr">
        <is>
          <t>Y</t>
        </is>
      </c>
      <c r="F10" s="20">
        <f>C10*'Assumptions &amp; Fixed Costs'!$C$4*IF(D10="Y",1,0)</f>
        <v/>
      </c>
      <c r="G10" s="21" t="inlineStr">
        <is>
          <t>Recurring</t>
        </is>
      </c>
    </row>
    <row r="11">
      <c r="B11" s="16" t="inlineStr">
        <is>
          <t>Gifts</t>
        </is>
      </c>
      <c r="C11" s="17" t="n">
        <v>205.98</v>
      </c>
      <c r="D11" s="18" t="inlineStr">
        <is>
          <t>Y</t>
        </is>
      </c>
      <c r="E11" s="19" t="inlineStr">
        <is>
          <t>Y</t>
        </is>
      </c>
      <c r="F11" s="20">
        <f>C11*'Assumptions &amp; Fixed Costs'!$C$4*IF(D11="Y",1,0)</f>
        <v/>
      </c>
      <c r="G11" s="21" t="inlineStr">
        <is>
          <t>Recurring</t>
        </is>
      </c>
    </row>
    <row r="12">
      <c r="B12" s="16" t="inlineStr">
        <is>
          <t>Insurance Expense</t>
        </is>
      </c>
      <c r="C12" s="17" t="n">
        <v>10094.85</v>
      </c>
      <c r="D12" s="18" t="inlineStr">
        <is>
          <t>Y</t>
        </is>
      </c>
      <c r="E12" s="19" t="inlineStr">
        <is>
          <t>Y</t>
        </is>
      </c>
      <c r="F12" s="20">
        <f>C12*'Assumptions &amp; Fixed Costs'!$C$4*IF(D12="Y",1,0)</f>
        <v/>
      </c>
      <c r="G12" s="21" t="inlineStr">
        <is>
          <t>Recurring</t>
        </is>
      </c>
    </row>
    <row r="13">
      <c r="B13" s="16" t="inlineStr">
        <is>
          <t>Interest Expense</t>
        </is>
      </c>
      <c r="C13" s="17" t="n">
        <v>22936.81</v>
      </c>
      <c r="D13" s="22" t="inlineStr">
        <is>
          <t>N</t>
        </is>
      </c>
      <c r="E13" s="19" t="inlineStr">
        <is>
          <t>Y</t>
        </is>
      </c>
      <c r="F13" s="20">
        <f>C13*'Assumptions &amp; Fixed Costs'!$C$4*IF(D13="Y",1,0)</f>
        <v/>
      </c>
      <c r="G13" s="23" t="inlineStr">
        <is>
          <t>REMOVE - debt paid off (gone from books)</t>
        </is>
      </c>
    </row>
    <row r="14">
      <c r="B14" s="16" t="inlineStr">
        <is>
          <t>Licensing Fees</t>
        </is>
      </c>
      <c r="C14" s="17" t="n">
        <v>2686</v>
      </c>
      <c r="D14" s="18" t="inlineStr">
        <is>
          <t>Y</t>
        </is>
      </c>
      <c r="E14" s="19" t="inlineStr">
        <is>
          <t>Y</t>
        </is>
      </c>
      <c r="F14" s="20">
        <f>C14*'Assumptions &amp; Fixed Costs'!$C$4*IF(D14="Y",1,0)</f>
        <v/>
      </c>
      <c r="G14" s="21" t="inlineStr">
        <is>
          <t>Recurring</t>
        </is>
      </c>
    </row>
    <row r="15">
      <c r="B15" s="16" t="inlineStr">
        <is>
          <t>Meals &amp; Entertainment</t>
        </is>
      </c>
      <c r="C15" s="17" t="n">
        <v>1392.34</v>
      </c>
      <c r="D15" s="18" t="inlineStr">
        <is>
          <t>Y</t>
        </is>
      </c>
      <c r="E15" s="19" t="inlineStr">
        <is>
          <t>Y</t>
        </is>
      </c>
      <c r="F15" s="20">
        <f>C15*'Assumptions &amp; Fixed Costs'!$C$4*IF(D15="Y",1,0)</f>
        <v/>
      </c>
      <c r="G15" s="21" t="inlineStr">
        <is>
          <t>Recurring</t>
        </is>
      </c>
    </row>
    <row r="16">
      <c r="B16" s="16" t="inlineStr">
        <is>
          <t>Office Expenses</t>
        </is>
      </c>
      <c r="C16" s="17" t="n">
        <v>616.47</v>
      </c>
      <c r="D16" s="18" t="inlineStr">
        <is>
          <t>Y</t>
        </is>
      </c>
      <c r="E16" s="19" t="inlineStr">
        <is>
          <t>Y</t>
        </is>
      </c>
      <c r="F16" s="20">
        <f>C16*'Assumptions &amp; Fixed Costs'!$C$4*IF(D16="Y",1,0)</f>
        <v/>
      </c>
      <c r="G16" s="21" t="inlineStr">
        <is>
          <t>Recurring</t>
        </is>
      </c>
    </row>
    <row r="17">
      <c r="B17" s="16" t="inlineStr">
        <is>
          <t>Payroll Expenses (401k, taxes, wages)</t>
        </is>
      </c>
      <c r="C17" s="17" t="n">
        <v>91284.53</v>
      </c>
      <c r="D17" s="18" t="inlineStr">
        <is>
          <t>Y</t>
        </is>
      </c>
      <c r="E17" s="19" t="inlineStr">
        <is>
          <t>Y</t>
        </is>
      </c>
      <c r="F17" s="20">
        <f>C17*'Assumptions &amp; Fixed Costs'!$C$4*IF(D17="Y",1,0)</f>
        <v/>
      </c>
      <c r="G17" s="21" t="inlineStr">
        <is>
          <t>Recurring - scales in steps</t>
        </is>
      </c>
    </row>
    <row r="18">
      <c r="B18" s="16" t="inlineStr">
        <is>
          <t>Professional Services (Legal + Tax)</t>
        </is>
      </c>
      <c r="C18" s="17" t="n">
        <v>4410</v>
      </c>
      <c r="D18" s="18" t="inlineStr">
        <is>
          <t>Y</t>
        </is>
      </c>
      <c r="E18" s="19" t="inlineStr">
        <is>
          <t>Y</t>
        </is>
      </c>
      <c r="F18" s="20">
        <f>C18*'Assumptions &amp; Fixed Costs'!$C$4*IF(D18="Y",1,0)</f>
        <v/>
      </c>
      <c r="G18" s="21" t="inlineStr">
        <is>
          <t>Recurring</t>
        </is>
      </c>
    </row>
    <row r="19">
      <c r="B19" s="16" t="inlineStr">
        <is>
          <t>Public Relations Expense</t>
        </is>
      </c>
      <c r="C19" s="17" t="n">
        <v>1900</v>
      </c>
      <c r="D19" s="18" t="inlineStr">
        <is>
          <t>Y</t>
        </is>
      </c>
      <c r="E19" s="19" t="inlineStr">
        <is>
          <t>Y</t>
        </is>
      </c>
      <c r="F19" s="20">
        <f>C19*'Assumptions &amp; Fixed Costs'!$C$4*IF(D19="Y",1,0)</f>
        <v/>
      </c>
      <c r="G19" s="21" t="inlineStr">
        <is>
          <t>Recurring</t>
        </is>
      </c>
    </row>
    <row r="20">
      <c r="B20" s="16" t="inlineStr">
        <is>
          <t>QuickBooks Payments Fees</t>
        </is>
      </c>
      <c r="C20" s="17" t="n">
        <v>5656.61</v>
      </c>
      <c r="D20" s="18" t="inlineStr">
        <is>
          <t>Y</t>
        </is>
      </c>
      <c r="E20" s="19" t="inlineStr">
        <is>
          <t>Y</t>
        </is>
      </c>
      <c r="F20" s="20">
        <f>C20*'Assumptions &amp; Fixed Costs'!$C$4*IF(D20="Y",1,0)</f>
        <v/>
      </c>
      <c r="G20" s="21" t="inlineStr">
        <is>
          <t>Recurring</t>
        </is>
      </c>
    </row>
    <row r="21">
      <c r="B21" s="16" t="inlineStr">
        <is>
          <t>Regulatory Fees</t>
        </is>
      </c>
      <c r="C21" s="17" t="n">
        <v>1950</v>
      </c>
      <c r="D21" s="18" t="inlineStr">
        <is>
          <t>Y</t>
        </is>
      </c>
      <c r="E21" s="19" t="inlineStr">
        <is>
          <t>Y</t>
        </is>
      </c>
      <c r="F21" s="20">
        <f>C21*'Assumptions &amp; Fixed Costs'!$C$4*IF(D21="Y",1,0)</f>
        <v/>
      </c>
      <c r="G21" s="21" t="inlineStr">
        <is>
          <t>Recurring</t>
        </is>
      </c>
    </row>
    <row r="22">
      <c r="B22" s="16" t="inlineStr">
        <is>
          <t>Rent Expense</t>
        </is>
      </c>
      <c r="C22" s="17" t="n">
        <v>3147</v>
      </c>
      <c r="D22" s="18" t="inlineStr">
        <is>
          <t>Y</t>
        </is>
      </c>
      <c r="E22" s="19" t="inlineStr">
        <is>
          <t>Y</t>
        </is>
      </c>
      <c r="F22" s="20">
        <f>C22*'Assumptions &amp; Fixed Costs'!$C$4*IF(D22="Y",1,0)</f>
        <v/>
      </c>
      <c r="G22" s="21" t="inlineStr">
        <is>
          <t>Recurring</t>
        </is>
      </c>
    </row>
    <row r="23">
      <c r="B23" s="16" t="inlineStr">
        <is>
          <t>Software (Advisor Platform, Back Office, Compliance)</t>
        </is>
      </c>
      <c r="C23" s="17" t="n">
        <v>119801.14</v>
      </c>
      <c r="D23" s="18" t="inlineStr">
        <is>
          <t>Y</t>
        </is>
      </c>
      <c r="E23" s="19" t="inlineStr">
        <is>
          <t>Y</t>
        </is>
      </c>
      <c r="F23" s="20">
        <f>C23*'Assumptions &amp; Fixed Costs'!$C$4*IF(D23="Y",1,0)</f>
        <v/>
      </c>
      <c r="G23" s="21" t="inlineStr">
        <is>
          <t>Recurring - step-fixed w/ scale</t>
        </is>
      </c>
    </row>
    <row r="24">
      <c r="B24" s="16" t="inlineStr">
        <is>
          <t>Suspense</t>
        </is>
      </c>
      <c r="C24" s="17" t="n">
        <v>500</v>
      </c>
      <c r="D24" s="22" t="inlineStr">
        <is>
          <t>N</t>
        </is>
      </c>
      <c r="E24" s="19" t="inlineStr">
        <is>
          <t>Y</t>
        </is>
      </c>
      <c r="F24" s="20">
        <f>C24*'Assumptions &amp; Fixed Costs'!$C$4*IF(D24="Y",1,0)</f>
        <v/>
      </c>
      <c r="G24" s="23" t="inlineStr">
        <is>
          <t>FLAG - unclassified / one-time</t>
        </is>
      </c>
    </row>
    <row r="25">
      <c r="B25" s="16" t="inlineStr">
        <is>
          <t>Travel Expenses</t>
        </is>
      </c>
      <c r="C25" s="17" t="n">
        <v>19799.88</v>
      </c>
      <c r="D25" s="18" t="inlineStr">
        <is>
          <t>Y</t>
        </is>
      </c>
      <c r="E25" s="19" t="inlineStr">
        <is>
          <t>Y</t>
        </is>
      </c>
      <c r="F25" s="20">
        <f>C25*'Assumptions &amp; Fixed Costs'!$C$4*IF(D25="Y",1,0)</f>
        <v/>
      </c>
      <c r="G25" s="21" t="inlineStr">
        <is>
          <t>Recurring - lumpy</t>
        </is>
      </c>
    </row>
    <row r="26">
      <c r="B26" s="16" t="inlineStr">
        <is>
          <t>Conference Expense</t>
        </is>
      </c>
      <c r="C26" s="17" t="n">
        <v>11783.65</v>
      </c>
      <c r="D26" s="22" t="inlineStr">
        <is>
          <t>N</t>
        </is>
      </c>
      <c r="E26" s="19" t="inlineStr">
        <is>
          <t>Y</t>
        </is>
      </c>
      <c r="F26" s="20">
        <f>C26*'Assumptions &amp; Fixed Costs'!$C$4*IF(D26="Y",1,0)</f>
        <v/>
      </c>
      <c r="G26" s="23" t="inlineStr">
        <is>
          <t>FLAG - likely one-time / lumpy</t>
        </is>
      </c>
    </row>
    <row r="27">
      <c r="B27" s="16" t="inlineStr">
        <is>
          <t>Utilities Expense</t>
        </is>
      </c>
      <c r="C27" s="17" t="n">
        <v>4312.95</v>
      </c>
      <c r="D27" s="18" t="inlineStr">
        <is>
          <t>Y</t>
        </is>
      </c>
      <c r="E27" s="19" t="inlineStr">
        <is>
          <t>Y</t>
        </is>
      </c>
      <c r="F27" s="20">
        <f>C27*'Assumptions &amp; Fixed Costs'!$C$4*IF(D27="Y",1,0)</f>
        <v/>
      </c>
      <c r="G27" s="21" t="inlineStr">
        <is>
          <t>Recurring</t>
        </is>
      </c>
    </row>
    <row r="28">
      <c r="B28" s="24" t="inlineStr">
        <is>
          <t>TOTAL GO-FORWARD ANNUAL FIXED COSTS</t>
        </is>
      </c>
      <c r="C28" s="25" t="n"/>
      <c r="D28" s="25" t="n"/>
      <c r="E28" s="25" t="n"/>
      <c r="F28" s="26">
        <f>SUM(F8:F27)</f>
        <v/>
      </c>
      <c r="G28" s="25" t="n"/>
    </row>
    <row r="29">
      <c r="B29" s="11" t="inlineStr">
        <is>
          <t>(memo) 6-mo included subtotal</t>
        </is>
      </c>
      <c r="F29" s="27">
        <f>SUMPRODUCT((D8:D27="Y")*C8:C27)</f>
        <v/>
      </c>
    </row>
    <row r="32" ht="24" customHeight="1">
      <c r="B32" s="12" t="inlineStr">
        <is>
          <t>PRICING ENGINE  (revenue to Rossby per office — editable list-price grid)</t>
        </is>
      </c>
      <c r="C32" s="13" t="n"/>
      <c r="D32" s="13" t="n"/>
      <c r="E32" s="13" t="n"/>
      <c r="F32" s="13" t="n"/>
      <c r="G32" s="13" t="n"/>
    </row>
    <row r="33">
      <c r="B33" s="8" t="inlineStr">
        <is>
          <t>Base platform fee — Access model</t>
        </is>
      </c>
      <c r="C33" s="28" t="n">
        <v>20000</v>
      </c>
    </row>
    <row r="34">
      <c r="B34" s="8" t="inlineStr">
        <is>
          <t>Base platform fee — Founders model</t>
        </is>
      </c>
      <c r="C34" s="28" t="n">
        <v>25000</v>
      </c>
    </row>
    <row r="36">
      <c r="B36" s="29" t="inlineStr">
        <is>
          <t>Per-account rate ($/account/month)</t>
        </is>
      </c>
    </row>
    <row r="37">
      <c r="B37" s="15" t="inlineStr">
        <is>
          <t>Min accounts (&gt;=)</t>
        </is>
      </c>
      <c r="C37" s="15" t="inlineStr">
        <is>
          <t>$/acct/mo</t>
        </is>
      </c>
    </row>
    <row r="38">
      <c r="B38" s="30" t="n">
        <v>0</v>
      </c>
      <c r="C38" s="31" t="n">
        <v>7</v>
      </c>
    </row>
    <row r="39">
      <c r="B39" s="30" t="n">
        <v>101</v>
      </c>
      <c r="C39" s="31" t="n">
        <v>6</v>
      </c>
    </row>
    <row r="40">
      <c r="B40" s="30" t="n">
        <v>501</v>
      </c>
      <c r="C40" s="31" t="n">
        <v>5</v>
      </c>
    </row>
    <row r="41">
      <c r="B41" s="30" t="n">
        <v>1301</v>
      </c>
      <c r="C41" s="31" t="n">
        <v>4</v>
      </c>
    </row>
    <row r="42">
      <c r="B42" s="30" t="n">
        <v>2101</v>
      </c>
      <c r="C42" s="31" t="n">
        <v>3</v>
      </c>
    </row>
    <row r="43">
      <c r="B43" s="30" t="n">
        <v>3401</v>
      </c>
      <c r="C43" s="31" t="n">
        <v>2</v>
      </c>
    </row>
    <row r="44">
      <c r="B44" s="30" t="n">
        <v>5501</v>
      </c>
      <c r="C44" s="31" t="n">
        <v>1</v>
      </c>
    </row>
    <row r="45">
      <c r="B45" s="30" t="n">
        <v>10001</v>
      </c>
      <c r="C45" s="31" t="n">
        <v>0.75</v>
      </c>
    </row>
    <row r="47">
      <c r="B47" s="29" t="inlineStr">
        <is>
          <t>Per additional-advisor fee ($/extra advisor/year)</t>
        </is>
      </c>
    </row>
    <row r="48">
      <c r="B48" s="15" t="inlineStr">
        <is>
          <t>Min advisors (&gt;=)</t>
        </is>
      </c>
      <c r="C48" s="15" t="inlineStr">
        <is>
          <t>$/extra advisor/yr</t>
        </is>
      </c>
    </row>
    <row r="49">
      <c r="B49" s="30" t="n">
        <v>0</v>
      </c>
      <c r="C49" s="32" t="n">
        <v>7500</v>
      </c>
    </row>
    <row r="50">
      <c r="B50" s="30" t="n">
        <v>4</v>
      </c>
      <c r="C50" s="32" t="n">
        <v>5000</v>
      </c>
    </row>
    <row r="51">
      <c r="B51" s="30" t="n">
        <v>6</v>
      </c>
      <c r="C51" s="32" t="n">
        <v>2500</v>
      </c>
    </row>
    <row r="52">
      <c r="B52" s="30" t="n">
        <v>9</v>
      </c>
      <c r="C52" s="32" t="n">
        <v>1500</v>
      </c>
    </row>
    <row r="53">
      <c r="B53" s="30" t="n">
        <v>14</v>
      </c>
      <c r="C53" s="32" t="n">
        <v>1000</v>
      </c>
    </row>
    <row r="55">
      <c r="B55" s="8" t="inlineStr">
        <is>
          <t>Optional: advisory override keep %  (2nd revenue channel, off by default)</t>
        </is>
      </c>
      <c r="C55" s="33" t="n">
        <v>0</v>
      </c>
    </row>
    <row r="56">
      <c r="B56" s="34" t="inlineStr">
        <is>
          <t xml:space="preserve">   Applied as AUM × bps/10000 × keep%. Leave 0 to model platform fees only.</t>
        </is>
      </c>
    </row>
  </sheetData>
  <mergeCells count="2">
    <mergeCell ref="B32:G32"/>
    <mergeCell ref="B6:G6"/>
  </mergeCells>
  <dataValidations count="1">
    <dataValidation sqref="D8 D9 D10 D11 D12 D13 D14 D15 D16 D17 D18 D19 D20 D21 D22 D23 D24 D25 D26 D27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1" customWidth="1" min="3" max="3"/>
    <col width="11" customWidth="1" min="4" max="4"/>
    <col width="10" customWidth="1" min="5" max="5"/>
    <col width="8" customWidth="1" min="6" max="6"/>
    <col width="11" customWidth="1" min="7" max="7"/>
    <col width="12" customWidth="1" min="8" max="8"/>
    <col width="10" customWidth="1" min="9" max="9"/>
    <col width="16" customWidth="1" min="10" max="10"/>
    <col width="16" customWidth="1" min="11" max="11"/>
    <col width="11" customWidth="1" min="12" max="12"/>
    <col width="15" customWidth="1" min="13" max="13"/>
    <col width="15" customWidth="1" min="14" max="14"/>
    <col width="15" customWidth="1" min="15" max="15"/>
  </cols>
  <sheetData>
    <row r="1" ht="24" customHeight="1">
      <c r="B1" s="7" t="inlineStr">
        <is>
          <t>Office Register</t>
        </is>
      </c>
    </row>
    <row r="2">
      <c r="B2" s="11" t="inlineStr">
        <is>
          <t>Existing offices preloaded from the 2026 Billing book. Add prospects in the blank rows below.</t>
        </is>
      </c>
    </row>
    <row r="4" ht="30" customHeight="1">
      <c r="B4" s="35" t="inlineStr">
        <is>
          <t>Office</t>
        </is>
      </c>
      <c r="C4" s="36" t="inlineStr">
        <is>
          <t>Status</t>
        </is>
      </c>
      <c r="D4" s="36" t="inlineStr">
        <is>
          <t>Model</t>
        </is>
      </c>
      <c r="E4" s="37" t="inlineStr">
        <is>
          <t>Base Fee</t>
        </is>
      </c>
      <c r="F4" s="36" t="inlineStr">
        <is>
          <t>Accounts</t>
        </is>
      </c>
      <c r="G4" s="36" t="inlineStr">
        <is>
          <t>IARs</t>
        </is>
      </c>
      <c r="H4" s="37" t="inlineStr">
        <is>
          <t>Per-Acct $/mo</t>
        </is>
      </c>
      <c r="I4" s="37" t="inlineStr">
        <is>
          <t>Per-Advisor $</t>
        </is>
      </c>
      <c r="J4" s="36" t="inlineStr">
        <is>
          <t>Discount %</t>
        </is>
      </c>
      <c r="K4" s="37" t="inlineStr">
        <is>
          <t>Actual Annual Rev</t>
        </is>
      </c>
      <c r="L4" s="37" t="inlineStr">
        <is>
          <t>Modeled (List)</t>
        </is>
      </c>
      <c r="M4" s="36" t="inlineStr">
        <is>
          <t>Rev Used</t>
        </is>
      </c>
      <c r="N4" s="37" t="inlineStr">
        <is>
          <t>Cost to Serve</t>
        </is>
      </c>
      <c r="O4" s="37" t="inlineStr">
        <is>
          <t>Contribution</t>
        </is>
      </c>
    </row>
    <row r="5">
      <c r="B5" s="38" t="inlineStr">
        <is>
          <t>Red Oak</t>
        </is>
      </c>
      <c r="C5" s="39" t="inlineStr">
        <is>
          <t>Existing</t>
        </is>
      </c>
      <c r="D5" s="39" t="inlineStr">
        <is>
          <t>Founders</t>
        </is>
      </c>
      <c r="E5" s="28" t="n">
        <v>25000</v>
      </c>
      <c r="F5" s="30" t="n"/>
      <c r="G5" s="30" t="n">
        <v>1</v>
      </c>
      <c r="H5" s="40" t="inlineStr"/>
      <c r="I5" s="28" t="n">
        <v>0</v>
      </c>
      <c r="J5" s="41" t="n">
        <v>0</v>
      </c>
      <c r="K5" s="28" t="n">
        <v>25000</v>
      </c>
      <c r="L5" s="42">
        <f>IF(B5="","",IF(N(F5)=0,IF(E5="",IF(D5="Founders",'Assumptions &amp; Fixed Costs'!$C$34,'Assumptions &amp; Fixed Costs'!$C$33),E5)+MAX(N(G5)-1,0)*LOOKUP(N(G5),'Assumptions &amp; Fixed Costs'!$B$49:$B$53,'Assumptions &amp; Fixed Costs'!$C$49:$C$53),IF(E5="",IF(D5="Founders",'Assumptions &amp; Fixed Costs'!$C$34,'Assumptions &amp; Fixed Costs'!$C$33),E5)+F5*LOOKUP(F5,'Assumptions &amp; Fixed Costs'!$B$38:$B$45,'Assumptions &amp; Fixed Costs'!$C$38:$C$45)*12+MAX(N(G5)-1,0)*LOOKUP(N(G5),'Assumptions &amp; Fixed Costs'!$B$49:$B$53,'Assumptions &amp; Fixed Costs'!$C$49:$C$53)))</f>
        <v/>
      </c>
      <c r="M5" s="39" t="inlineStr">
        <is>
          <t>Actual</t>
        </is>
      </c>
      <c r="N5" s="28" t="n">
        <v>0</v>
      </c>
      <c r="O5" s="43">
        <f>IF(B5="","",IF(M5="Modeled",L5,IF(N(K5)&gt;0,K5,L5))-N(N5))</f>
        <v/>
      </c>
    </row>
    <row r="6">
      <c r="B6" s="38" t="inlineStr">
        <is>
          <t>Life Strategies</t>
        </is>
      </c>
      <c r="C6" s="39" t="inlineStr">
        <is>
          <t>Existing</t>
        </is>
      </c>
      <c r="D6" s="39" t="inlineStr">
        <is>
          <t>Founders</t>
        </is>
      </c>
      <c r="E6" s="28" t="n">
        <v>25000</v>
      </c>
      <c r="F6" s="30" t="n"/>
      <c r="G6" s="30" t="n">
        <v>2</v>
      </c>
      <c r="H6" s="40" t="inlineStr"/>
      <c r="I6" s="28" t="n">
        <v>0</v>
      </c>
      <c r="J6" s="41" t="n">
        <v>0</v>
      </c>
      <c r="K6" s="28" t="n">
        <v>25000</v>
      </c>
      <c r="L6" s="42">
        <f>IF(B6="","",IF(N(F6)=0,IF(E6="",IF(D6="Founders",'Assumptions &amp; Fixed Costs'!$C$34,'Assumptions &amp; Fixed Costs'!$C$33),E6)+MAX(N(G6)-1,0)*LOOKUP(N(G6),'Assumptions &amp; Fixed Costs'!$B$49:$B$53,'Assumptions &amp; Fixed Costs'!$C$49:$C$53),IF(E6="",IF(D6="Founders",'Assumptions &amp; Fixed Costs'!$C$34,'Assumptions &amp; Fixed Costs'!$C$33),E6)+F6*LOOKUP(F6,'Assumptions &amp; Fixed Costs'!$B$38:$B$45,'Assumptions &amp; Fixed Costs'!$C$38:$C$45)*12+MAX(N(G6)-1,0)*LOOKUP(N(G6),'Assumptions &amp; Fixed Costs'!$B$49:$B$53,'Assumptions &amp; Fixed Costs'!$C$49:$C$53)))</f>
        <v/>
      </c>
      <c r="M6" s="39" t="inlineStr">
        <is>
          <t>Actual</t>
        </is>
      </c>
      <c r="N6" s="28" t="n">
        <v>0</v>
      </c>
      <c r="O6" s="43">
        <f>IF(B6="","",IF(M6="Modeled",L6,IF(N(K6)&gt;0,K6,L6))-N(N6))</f>
        <v/>
      </c>
    </row>
    <row r="7">
      <c r="B7" s="38" t="inlineStr">
        <is>
          <t>EViE</t>
        </is>
      </c>
      <c r="C7" s="39" t="inlineStr">
        <is>
          <t>Existing</t>
        </is>
      </c>
      <c r="D7" s="39" t="inlineStr">
        <is>
          <t>Founders</t>
        </is>
      </c>
      <c r="E7" s="28" t="n">
        <v>25000</v>
      </c>
      <c r="F7" s="30" t="n"/>
      <c r="G7" s="30" t="n">
        <v>2</v>
      </c>
      <c r="H7" s="40" t="inlineStr"/>
      <c r="I7" s="28" t="n">
        <v>5000</v>
      </c>
      <c r="J7" s="41" t="n">
        <v>0</v>
      </c>
      <c r="K7" s="28" t="n">
        <v>30000</v>
      </c>
      <c r="L7" s="42">
        <f>IF(B7="","",IF(N(F7)=0,IF(E7="",IF(D7="Founders",'Assumptions &amp; Fixed Costs'!$C$34,'Assumptions &amp; Fixed Costs'!$C$33),E7)+MAX(N(G7)-1,0)*LOOKUP(N(G7),'Assumptions &amp; Fixed Costs'!$B$49:$B$53,'Assumptions &amp; Fixed Costs'!$C$49:$C$53),IF(E7="",IF(D7="Founders",'Assumptions &amp; Fixed Costs'!$C$34,'Assumptions &amp; Fixed Costs'!$C$33),E7)+F7*LOOKUP(F7,'Assumptions &amp; Fixed Costs'!$B$38:$B$45,'Assumptions &amp; Fixed Costs'!$C$38:$C$45)*12+MAX(N(G7)-1,0)*LOOKUP(N(G7),'Assumptions &amp; Fixed Costs'!$B$49:$B$53,'Assumptions &amp; Fixed Costs'!$C$49:$C$53)))</f>
        <v/>
      </c>
      <c r="M7" s="39" t="inlineStr">
        <is>
          <t>Actual</t>
        </is>
      </c>
      <c r="N7" s="28" t="n">
        <v>0</v>
      </c>
      <c r="O7" s="43">
        <f>IF(B7="","",IF(M7="Modeled",L7,IF(N(K7)&gt;0,K7,L7))-N(N7))</f>
        <v/>
      </c>
    </row>
    <row r="8">
      <c r="B8" s="38" t="inlineStr">
        <is>
          <t>Florio</t>
        </is>
      </c>
      <c r="C8" s="39" t="inlineStr">
        <is>
          <t>Existing</t>
        </is>
      </c>
      <c r="D8" s="39" t="inlineStr">
        <is>
          <t>Founders</t>
        </is>
      </c>
      <c r="E8" s="28" t="n">
        <v>25000</v>
      </c>
      <c r="F8" s="30" t="n"/>
      <c r="G8" s="30" t="n">
        <v>1</v>
      </c>
      <c r="H8" s="40" t="inlineStr"/>
      <c r="I8" s="28" t="n">
        <v>0</v>
      </c>
      <c r="J8" s="41" t="n">
        <v>0</v>
      </c>
      <c r="K8" s="28" t="n">
        <v>25000</v>
      </c>
      <c r="L8" s="42">
        <f>IF(B8="","",IF(N(F8)=0,IF(E8="",IF(D8="Founders",'Assumptions &amp; Fixed Costs'!$C$34,'Assumptions &amp; Fixed Costs'!$C$33),E8)+MAX(N(G8)-1,0)*LOOKUP(N(G8),'Assumptions &amp; Fixed Costs'!$B$49:$B$53,'Assumptions &amp; Fixed Costs'!$C$49:$C$53),IF(E8="",IF(D8="Founders",'Assumptions &amp; Fixed Costs'!$C$34,'Assumptions &amp; Fixed Costs'!$C$33),E8)+F8*LOOKUP(F8,'Assumptions &amp; Fixed Costs'!$B$38:$B$45,'Assumptions &amp; Fixed Costs'!$C$38:$C$45)*12+MAX(N(G8)-1,0)*LOOKUP(N(G8),'Assumptions &amp; Fixed Costs'!$B$49:$B$53,'Assumptions &amp; Fixed Costs'!$C$49:$C$53)))</f>
        <v/>
      </c>
      <c r="M8" s="39" t="inlineStr">
        <is>
          <t>Actual</t>
        </is>
      </c>
      <c r="N8" s="28" t="n">
        <v>0</v>
      </c>
      <c r="O8" s="43">
        <f>IF(B8="","",IF(M8="Modeled",L8,IF(N(K8)&gt;0,K8,L8))-N(N8))</f>
        <v/>
      </c>
    </row>
    <row r="9">
      <c r="B9" s="38" t="inlineStr">
        <is>
          <t>Toler</t>
        </is>
      </c>
      <c r="C9" s="39" t="inlineStr">
        <is>
          <t>Existing</t>
        </is>
      </c>
      <c r="D9" s="39" t="inlineStr">
        <is>
          <t>Access</t>
        </is>
      </c>
      <c r="E9" s="28" t="n">
        <v>20000</v>
      </c>
      <c r="F9" s="30" t="n">
        <v>854</v>
      </c>
      <c r="G9" s="30" t="n">
        <v>5</v>
      </c>
      <c r="H9" s="40" t="n">
        <v>4</v>
      </c>
      <c r="I9" s="28" t="n">
        <v>20000</v>
      </c>
      <c r="J9" s="41" t="n">
        <v>0</v>
      </c>
      <c r="K9" s="28" t="n">
        <v>80992</v>
      </c>
      <c r="L9" s="42">
        <f>IF(B9="","",IF(N(F9)=0,IF(E9="",IF(D9="Founders",'Assumptions &amp; Fixed Costs'!$C$34,'Assumptions &amp; Fixed Costs'!$C$33),E9)+MAX(N(G9)-1,0)*LOOKUP(N(G9),'Assumptions &amp; Fixed Costs'!$B$49:$B$53,'Assumptions &amp; Fixed Costs'!$C$49:$C$53),IF(E9="",IF(D9="Founders",'Assumptions &amp; Fixed Costs'!$C$34,'Assumptions &amp; Fixed Costs'!$C$33),E9)+F9*LOOKUP(F9,'Assumptions &amp; Fixed Costs'!$B$38:$B$45,'Assumptions &amp; Fixed Costs'!$C$38:$C$45)*12+MAX(N(G9)-1,0)*LOOKUP(N(G9),'Assumptions &amp; Fixed Costs'!$B$49:$B$53,'Assumptions &amp; Fixed Costs'!$C$49:$C$53)))</f>
        <v/>
      </c>
      <c r="M9" s="39" t="inlineStr">
        <is>
          <t>Actual</t>
        </is>
      </c>
      <c r="N9" s="28" t="n">
        <v>0</v>
      </c>
      <c r="O9" s="43">
        <f>IF(B9="","",IF(M9="Modeled",L9,IF(N(K9)&gt;0,K9,L9))-N(N9))</f>
        <v/>
      </c>
    </row>
    <row r="10">
      <c r="B10" s="38" t="inlineStr">
        <is>
          <t>RMRG</t>
        </is>
      </c>
      <c r="C10" s="39" t="inlineStr">
        <is>
          <t>Existing</t>
        </is>
      </c>
      <c r="D10" s="39" t="inlineStr">
        <is>
          <t>Access</t>
        </is>
      </c>
      <c r="E10" s="28" t="n">
        <v>20000</v>
      </c>
      <c r="F10" s="30" t="n">
        <v>124</v>
      </c>
      <c r="G10" s="30" t="n">
        <v>2</v>
      </c>
      <c r="H10" s="40" t="n">
        <v>5</v>
      </c>
      <c r="I10" s="28" t="n">
        <v>7500</v>
      </c>
      <c r="J10" s="41" t="n">
        <v>0.2</v>
      </c>
      <c r="K10" s="28" t="n">
        <v>27952</v>
      </c>
      <c r="L10" s="42">
        <f>IF(B10="","",IF(N(F10)=0,IF(E10="",IF(D10="Founders",'Assumptions &amp; Fixed Costs'!$C$34,'Assumptions &amp; Fixed Costs'!$C$33),E10)+MAX(N(G10)-1,0)*LOOKUP(N(G10),'Assumptions &amp; Fixed Costs'!$B$49:$B$53,'Assumptions &amp; Fixed Costs'!$C$49:$C$53),IF(E10="",IF(D10="Founders",'Assumptions &amp; Fixed Costs'!$C$34,'Assumptions &amp; Fixed Costs'!$C$33),E10)+F10*LOOKUP(F10,'Assumptions &amp; Fixed Costs'!$B$38:$B$45,'Assumptions &amp; Fixed Costs'!$C$38:$C$45)*12+MAX(N(G10)-1,0)*LOOKUP(N(G10),'Assumptions &amp; Fixed Costs'!$B$49:$B$53,'Assumptions &amp; Fixed Costs'!$C$49:$C$53)))</f>
        <v/>
      </c>
      <c r="M10" s="39" t="inlineStr">
        <is>
          <t>Actual</t>
        </is>
      </c>
      <c r="N10" s="28" t="n">
        <v>0</v>
      </c>
      <c r="O10" s="43">
        <f>IF(B10="","",IF(M10="Modeled",L10,IF(N(K10)&gt;0,K10,L10))-N(N10))</f>
        <v/>
      </c>
    </row>
    <row r="11">
      <c r="B11" s="38" t="inlineStr">
        <is>
          <t>Trucess</t>
        </is>
      </c>
      <c r="C11" s="39" t="inlineStr">
        <is>
          <t>Existing</t>
        </is>
      </c>
      <c r="D11" s="39" t="inlineStr">
        <is>
          <t>Access</t>
        </is>
      </c>
      <c r="E11" s="28" t="n">
        <v>15000</v>
      </c>
      <c r="F11" s="30" t="n">
        <v>130</v>
      </c>
      <c r="G11" s="30" t="n">
        <v>1</v>
      </c>
      <c r="H11" s="40" t="n">
        <v>5</v>
      </c>
      <c r="I11" s="28" t="n">
        <v>0</v>
      </c>
      <c r="J11" s="41" t="n">
        <v>0</v>
      </c>
      <c r="K11" s="28" t="n">
        <v>22800</v>
      </c>
      <c r="L11" s="42">
        <f>IF(B11="","",IF(N(F11)=0,IF(E11="",IF(D11="Founders",'Assumptions &amp; Fixed Costs'!$C$34,'Assumptions &amp; Fixed Costs'!$C$33),E11)+MAX(N(G11)-1,0)*LOOKUP(N(G11),'Assumptions &amp; Fixed Costs'!$B$49:$B$53,'Assumptions &amp; Fixed Costs'!$C$49:$C$53),IF(E11="",IF(D11="Founders",'Assumptions &amp; Fixed Costs'!$C$34,'Assumptions &amp; Fixed Costs'!$C$33),E11)+F11*LOOKUP(F11,'Assumptions &amp; Fixed Costs'!$B$38:$B$45,'Assumptions &amp; Fixed Costs'!$C$38:$C$45)*12+MAX(N(G11)-1,0)*LOOKUP(N(G11),'Assumptions &amp; Fixed Costs'!$B$49:$B$53,'Assumptions &amp; Fixed Costs'!$C$49:$C$53)))</f>
        <v/>
      </c>
      <c r="M11" s="39" t="inlineStr">
        <is>
          <t>Actual</t>
        </is>
      </c>
      <c r="N11" s="28" t="n">
        <v>0</v>
      </c>
      <c r="O11" s="43">
        <f>IF(B11="","",IF(M11="Modeled",L11,IF(N(K11)&gt;0,K11,L11))-N(N11))</f>
        <v/>
      </c>
    </row>
    <row r="12">
      <c r="B12" s="38" t="inlineStr">
        <is>
          <t>Reymar Wealth</t>
        </is>
      </c>
      <c r="C12" s="39" t="inlineStr">
        <is>
          <t>Existing</t>
        </is>
      </c>
      <c r="D12" s="39" t="inlineStr">
        <is>
          <t>Access</t>
        </is>
      </c>
      <c r="E12" s="28" t="n">
        <v>20000</v>
      </c>
      <c r="F12" s="30" t="n">
        <v>131</v>
      </c>
      <c r="G12" s="30" t="n">
        <v>1</v>
      </c>
      <c r="H12" s="40" t="n">
        <v>5</v>
      </c>
      <c r="I12" s="28" t="n">
        <v>0</v>
      </c>
      <c r="J12" s="41" t="n">
        <v>0</v>
      </c>
      <c r="K12" s="28" t="n">
        <v>27860</v>
      </c>
      <c r="L12" s="42">
        <f>IF(B12="","",IF(N(F12)=0,IF(E12="",IF(D12="Founders",'Assumptions &amp; Fixed Costs'!$C$34,'Assumptions &amp; Fixed Costs'!$C$33),E12)+MAX(N(G12)-1,0)*LOOKUP(N(G12),'Assumptions &amp; Fixed Costs'!$B$49:$B$53,'Assumptions &amp; Fixed Costs'!$C$49:$C$53),IF(E12="",IF(D12="Founders",'Assumptions &amp; Fixed Costs'!$C$34,'Assumptions &amp; Fixed Costs'!$C$33),E12)+F12*LOOKUP(F12,'Assumptions &amp; Fixed Costs'!$B$38:$B$45,'Assumptions &amp; Fixed Costs'!$C$38:$C$45)*12+MAX(N(G12)-1,0)*LOOKUP(N(G12),'Assumptions &amp; Fixed Costs'!$B$49:$B$53,'Assumptions &amp; Fixed Costs'!$C$49:$C$53)))</f>
        <v/>
      </c>
      <c r="M12" s="39" t="inlineStr">
        <is>
          <t>Actual</t>
        </is>
      </c>
      <c r="N12" s="28" t="n">
        <v>0</v>
      </c>
      <c r="O12" s="43">
        <f>IF(B12="","",IF(M12="Modeled",L12,IF(N(K12)&gt;0,K12,L12))-N(N12))</f>
        <v/>
      </c>
    </row>
    <row r="13">
      <c r="B13" s="38" t="inlineStr">
        <is>
          <t>Alan R. Joyce Co.</t>
        </is>
      </c>
      <c r="C13" s="39" t="inlineStr">
        <is>
          <t>Existing</t>
        </is>
      </c>
      <c r="D13" s="39" t="inlineStr">
        <is>
          <t>Access</t>
        </is>
      </c>
      <c r="E13" s="28" t="n">
        <v>20000</v>
      </c>
      <c r="F13" s="30" t="n">
        <v>14</v>
      </c>
      <c r="G13" s="30" t="n">
        <v>1</v>
      </c>
      <c r="H13" s="40" t="n">
        <v>6</v>
      </c>
      <c r="I13" s="28" t="n">
        <v>0</v>
      </c>
      <c r="J13" s="41" t="n">
        <v>0</v>
      </c>
      <c r="K13" s="28" t="n">
        <v>21008</v>
      </c>
      <c r="L13" s="42">
        <f>IF(B13="","",IF(N(F13)=0,IF(E13="",IF(D13="Founders",'Assumptions &amp; Fixed Costs'!$C$34,'Assumptions &amp; Fixed Costs'!$C$33),E13)+MAX(N(G13)-1,0)*LOOKUP(N(G13),'Assumptions &amp; Fixed Costs'!$B$49:$B$53,'Assumptions &amp; Fixed Costs'!$C$49:$C$53),IF(E13="",IF(D13="Founders",'Assumptions &amp; Fixed Costs'!$C$34,'Assumptions &amp; Fixed Costs'!$C$33),E13)+F13*LOOKUP(F13,'Assumptions &amp; Fixed Costs'!$B$38:$B$45,'Assumptions &amp; Fixed Costs'!$C$38:$C$45)*12+MAX(N(G13)-1,0)*LOOKUP(N(G13),'Assumptions &amp; Fixed Costs'!$B$49:$B$53,'Assumptions &amp; Fixed Costs'!$C$49:$C$53)))</f>
        <v/>
      </c>
      <c r="M13" s="39" t="inlineStr">
        <is>
          <t>Actual</t>
        </is>
      </c>
      <c r="N13" s="28" t="n">
        <v>0</v>
      </c>
      <c r="O13" s="43">
        <f>IF(B13="","",IF(M13="Modeled",L13,IF(N(K13)&gt;0,K13,L13))-N(N13))</f>
        <v/>
      </c>
    </row>
    <row r="14">
      <c r="B14" s="38" t="inlineStr">
        <is>
          <t>OSBORN Wealth</t>
        </is>
      </c>
      <c r="C14" s="39" t="inlineStr">
        <is>
          <t>Existing</t>
        </is>
      </c>
      <c r="D14" s="39" t="inlineStr">
        <is>
          <t>Access</t>
        </is>
      </c>
      <c r="E14" s="28" t="n">
        <v>20000</v>
      </c>
      <c r="F14" s="30" t="n">
        <v>197</v>
      </c>
      <c r="G14" s="30" t="n">
        <v>2</v>
      </c>
      <c r="H14" s="40" t="n">
        <v>4.060913705583756</v>
      </c>
      <c r="I14" s="28" t="n">
        <v>7500</v>
      </c>
      <c r="J14" s="41" t="n">
        <v>0</v>
      </c>
      <c r="K14" s="28" t="n">
        <v>37100</v>
      </c>
      <c r="L14" s="42">
        <f>IF(B14="","",IF(N(F14)=0,IF(E14="",IF(D14="Founders",'Assumptions &amp; Fixed Costs'!$C$34,'Assumptions &amp; Fixed Costs'!$C$33),E14)+MAX(N(G14)-1,0)*LOOKUP(N(G14),'Assumptions &amp; Fixed Costs'!$B$49:$B$53,'Assumptions &amp; Fixed Costs'!$C$49:$C$53),IF(E14="",IF(D14="Founders",'Assumptions &amp; Fixed Costs'!$C$34,'Assumptions &amp; Fixed Costs'!$C$33),E14)+F14*LOOKUP(F14,'Assumptions &amp; Fixed Costs'!$B$38:$B$45,'Assumptions &amp; Fixed Costs'!$C$38:$C$45)*12+MAX(N(G14)-1,0)*LOOKUP(N(G14),'Assumptions &amp; Fixed Costs'!$B$49:$B$53,'Assumptions &amp; Fixed Costs'!$C$49:$C$53)))</f>
        <v/>
      </c>
      <c r="M14" s="39" t="inlineStr">
        <is>
          <t>Actual</t>
        </is>
      </c>
      <c r="N14" s="28" t="n">
        <v>0</v>
      </c>
      <c r="O14" s="43">
        <f>IF(B14="","",IF(M14="Modeled",L14,IF(N(K14)&gt;0,K14,L14))-N(N14))</f>
        <v/>
      </c>
    </row>
    <row r="15">
      <c r="B15" s="38" t="inlineStr">
        <is>
          <t>Windward Financial</t>
        </is>
      </c>
      <c r="C15" s="39" t="inlineStr">
        <is>
          <t>Existing</t>
        </is>
      </c>
      <c r="D15" s="39" t="inlineStr">
        <is>
          <t>Access</t>
        </is>
      </c>
      <c r="E15" s="28" t="n">
        <v>20000</v>
      </c>
      <c r="F15" s="30" t="n">
        <v>119</v>
      </c>
      <c r="G15" s="30" t="n">
        <v>1</v>
      </c>
      <c r="H15" s="40" t="n">
        <v>5</v>
      </c>
      <c r="I15" s="28" t="n">
        <v>0</v>
      </c>
      <c r="J15" s="41" t="n">
        <v>0</v>
      </c>
      <c r="K15" s="28" t="n">
        <v>27140</v>
      </c>
      <c r="L15" s="42">
        <f>IF(B15="","",IF(N(F15)=0,IF(E15="",IF(D15="Founders",'Assumptions &amp; Fixed Costs'!$C$34,'Assumptions &amp; Fixed Costs'!$C$33),E15)+MAX(N(G15)-1,0)*LOOKUP(N(G15),'Assumptions &amp; Fixed Costs'!$B$49:$B$53,'Assumptions &amp; Fixed Costs'!$C$49:$C$53),IF(E15="",IF(D15="Founders",'Assumptions &amp; Fixed Costs'!$C$34,'Assumptions &amp; Fixed Costs'!$C$33),E15)+F15*LOOKUP(F15,'Assumptions &amp; Fixed Costs'!$B$38:$B$45,'Assumptions &amp; Fixed Costs'!$C$38:$C$45)*12+MAX(N(G15)-1,0)*LOOKUP(N(G15),'Assumptions &amp; Fixed Costs'!$B$49:$B$53,'Assumptions &amp; Fixed Costs'!$C$49:$C$53)))</f>
        <v/>
      </c>
      <c r="M15" s="39" t="inlineStr">
        <is>
          <t>Actual</t>
        </is>
      </c>
      <c r="N15" s="28" t="n">
        <v>0</v>
      </c>
      <c r="O15" s="43">
        <f>IF(B15="","",IF(M15="Modeled",L15,IF(N(K15)&gt;0,K15,L15))-N(N15))</f>
        <v/>
      </c>
    </row>
    <row r="16">
      <c r="B16" s="38" t="inlineStr">
        <is>
          <t>Financial Strategies</t>
        </is>
      </c>
      <c r="C16" s="39" t="inlineStr">
        <is>
          <t>Existing</t>
        </is>
      </c>
      <c r="D16" s="39" t="inlineStr">
        <is>
          <t>Access</t>
        </is>
      </c>
      <c r="E16" s="28" t="n">
        <v>20000</v>
      </c>
      <c r="F16" s="30" t="n">
        <v>319</v>
      </c>
      <c r="G16" s="30" t="n">
        <v>1</v>
      </c>
      <c r="H16" s="40" t="n">
        <v>5</v>
      </c>
      <c r="I16" s="28" t="n">
        <v>0</v>
      </c>
      <c r="J16" s="41" t="n">
        <v>0</v>
      </c>
      <c r="K16" s="28" t="n">
        <v>39140</v>
      </c>
      <c r="L16" s="42">
        <f>IF(B16="","",IF(N(F16)=0,IF(E16="",IF(D16="Founders",'Assumptions &amp; Fixed Costs'!$C$34,'Assumptions &amp; Fixed Costs'!$C$33),E16)+MAX(N(G16)-1,0)*LOOKUP(N(G16),'Assumptions &amp; Fixed Costs'!$B$49:$B$53,'Assumptions &amp; Fixed Costs'!$C$49:$C$53),IF(E16="",IF(D16="Founders",'Assumptions &amp; Fixed Costs'!$C$34,'Assumptions &amp; Fixed Costs'!$C$33),E16)+F16*LOOKUP(F16,'Assumptions &amp; Fixed Costs'!$B$38:$B$45,'Assumptions &amp; Fixed Costs'!$C$38:$C$45)*12+MAX(N(G16)-1,0)*LOOKUP(N(G16),'Assumptions &amp; Fixed Costs'!$B$49:$B$53,'Assumptions &amp; Fixed Costs'!$C$49:$C$53)))</f>
        <v/>
      </c>
      <c r="M16" s="39" t="inlineStr">
        <is>
          <t>Actual</t>
        </is>
      </c>
      <c r="N16" s="28" t="n">
        <v>0</v>
      </c>
      <c r="O16" s="43">
        <f>IF(B16="","",IF(M16="Modeled",L16,IF(N(K16)&gt;0,K16,L16))-N(N16))</f>
        <v/>
      </c>
    </row>
    <row r="17">
      <c r="B17" s="38" t="inlineStr">
        <is>
          <t>Prarie Oak</t>
        </is>
      </c>
      <c r="C17" s="39" t="inlineStr">
        <is>
          <t>Existing</t>
        </is>
      </c>
      <c r="D17" s="39" t="inlineStr">
        <is>
          <t>Access</t>
        </is>
      </c>
      <c r="E17" s="28" t="n">
        <v>20000</v>
      </c>
      <c r="F17" s="30" t="n">
        <v>231</v>
      </c>
      <c r="G17" s="30" t="n">
        <v>2</v>
      </c>
      <c r="H17" s="40" t="n">
        <v>5</v>
      </c>
      <c r="I17" s="28" t="n">
        <v>7500</v>
      </c>
      <c r="J17" s="41" t="n">
        <v>0</v>
      </c>
      <c r="K17" s="28" t="n">
        <v>41360</v>
      </c>
      <c r="L17" s="42">
        <f>IF(B17="","",IF(N(F17)=0,IF(E17="",IF(D17="Founders",'Assumptions &amp; Fixed Costs'!$C$34,'Assumptions &amp; Fixed Costs'!$C$33),E17)+MAX(N(G17)-1,0)*LOOKUP(N(G17),'Assumptions &amp; Fixed Costs'!$B$49:$B$53,'Assumptions &amp; Fixed Costs'!$C$49:$C$53),IF(E17="",IF(D17="Founders",'Assumptions &amp; Fixed Costs'!$C$34,'Assumptions &amp; Fixed Costs'!$C$33),E17)+F17*LOOKUP(F17,'Assumptions &amp; Fixed Costs'!$B$38:$B$45,'Assumptions &amp; Fixed Costs'!$C$38:$C$45)*12+MAX(N(G17)-1,0)*LOOKUP(N(G17),'Assumptions &amp; Fixed Costs'!$B$49:$B$53,'Assumptions &amp; Fixed Costs'!$C$49:$C$53)))</f>
        <v/>
      </c>
      <c r="M17" s="39" t="inlineStr">
        <is>
          <t>Actual</t>
        </is>
      </c>
      <c r="N17" s="28" t="n">
        <v>0</v>
      </c>
      <c r="O17" s="43">
        <f>IF(B17="","",IF(M17="Modeled",L17,IF(N(K17)&gt;0,K17,L17))-N(N17))</f>
        <v/>
      </c>
    </row>
    <row r="18">
      <c r="B18" s="38" t="inlineStr">
        <is>
          <t>Sequence Wealth</t>
        </is>
      </c>
      <c r="C18" s="39" t="inlineStr">
        <is>
          <t>Existing</t>
        </is>
      </c>
      <c r="D18" s="39" t="inlineStr">
        <is>
          <t>Access</t>
        </is>
      </c>
      <c r="E18" s="28" t="n">
        <v>20000</v>
      </c>
      <c r="F18" s="30" t="n">
        <v>59</v>
      </c>
      <c r="G18" s="30" t="n">
        <v>1</v>
      </c>
      <c r="H18" s="40" t="n">
        <v>6</v>
      </c>
      <c r="I18" s="28" t="n">
        <v>0</v>
      </c>
      <c r="J18" s="41" t="n">
        <v>0</v>
      </c>
      <c r="K18" s="28" t="n">
        <v>24248</v>
      </c>
      <c r="L18" s="42">
        <f>IF(B18="","",IF(N(F18)=0,IF(E18="",IF(D18="Founders",'Assumptions &amp; Fixed Costs'!$C$34,'Assumptions &amp; Fixed Costs'!$C$33),E18)+MAX(N(G18)-1,0)*LOOKUP(N(G18),'Assumptions &amp; Fixed Costs'!$B$49:$B$53,'Assumptions &amp; Fixed Costs'!$C$49:$C$53),IF(E18="",IF(D18="Founders",'Assumptions &amp; Fixed Costs'!$C$34,'Assumptions &amp; Fixed Costs'!$C$33),E18)+F18*LOOKUP(F18,'Assumptions &amp; Fixed Costs'!$B$38:$B$45,'Assumptions &amp; Fixed Costs'!$C$38:$C$45)*12+MAX(N(G18)-1,0)*LOOKUP(N(G18),'Assumptions &amp; Fixed Costs'!$B$49:$B$53,'Assumptions &amp; Fixed Costs'!$C$49:$C$53)))</f>
        <v/>
      </c>
      <c r="M18" s="39" t="inlineStr">
        <is>
          <t>Actual</t>
        </is>
      </c>
      <c r="N18" s="28" t="n">
        <v>0</v>
      </c>
      <c r="O18" s="43">
        <f>IF(B18="","",IF(M18="Modeled",L18,IF(N(K18)&gt;0,K18,L18))-N(N18))</f>
        <v/>
      </c>
    </row>
    <row r="19">
      <c r="B19" s="38" t="inlineStr">
        <is>
          <t>Oak Stream Investments</t>
        </is>
      </c>
      <c r="C19" s="39" t="inlineStr">
        <is>
          <t>Existing</t>
        </is>
      </c>
      <c r="D19" s="39" t="inlineStr">
        <is>
          <t>Access</t>
        </is>
      </c>
      <c r="E19" s="28" t="n">
        <v>20000</v>
      </c>
      <c r="F19" s="30" t="n">
        <v>88</v>
      </c>
      <c r="G19" s="30" t="n">
        <v>1</v>
      </c>
      <c r="H19" s="40" t="n">
        <v>7</v>
      </c>
      <c r="I19" s="28" t="n">
        <v>0</v>
      </c>
      <c r="J19" s="41" t="n">
        <v>0</v>
      </c>
      <c r="K19" s="28" t="n">
        <v>27392</v>
      </c>
      <c r="L19" s="42">
        <f>IF(B19="","",IF(N(F19)=0,IF(E19="",IF(D19="Founders",'Assumptions &amp; Fixed Costs'!$C$34,'Assumptions &amp; Fixed Costs'!$C$33),E19)+MAX(N(G19)-1,0)*LOOKUP(N(G19),'Assumptions &amp; Fixed Costs'!$B$49:$B$53,'Assumptions &amp; Fixed Costs'!$C$49:$C$53),IF(E19="",IF(D19="Founders",'Assumptions &amp; Fixed Costs'!$C$34,'Assumptions &amp; Fixed Costs'!$C$33),E19)+F19*LOOKUP(F19,'Assumptions &amp; Fixed Costs'!$B$38:$B$45,'Assumptions &amp; Fixed Costs'!$C$38:$C$45)*12+MAX(N(G19)-1,0)*LOOKUP(N(G19),'Assumptions &amp; Fixed Costs'!$B$49:$B$53,'Assumptions &amp; Fixed Costs'!$C$49:$C$53)))</f>
        <v/>
      </c>
      <c r="M19" s="39" t="inlineStr">
        <is>
          <t>Actual</t>
        </is>
      </c>
      <c r="N19" s="28" t="n">
        <v>0</v>
      </c>
      <c r="O19" s="43">
        <f>IF(B19="","",IF(M19="Modeled",L19,IF(N(K19)&gt;0,K19,L19))-N(N19))</f>
        <v/>
      </c>
    </row>
    <row r="20">
      <c r="B20" s="38" t="inlineStr">
        <is>
          <t>Tribox</t>
        </is>
      </c>
      <c r="C20" s="39" t="inlineStr">
        <is>
          <t>Existing</t>
        </is>
      </c>
      <c r="D20" s="39" t="inlineStr">
        <is>
          <t>Access</t>
        </is>
      </c>
      <c r="E20" s="28" t="n">
        <v>20000</v>
      </c>
      <c r="F20" s="30" t="n">
        <v>261</v>
      </c>
      <c r="G20" s="30" t="n">
        <v>2</v>
      </c>
      <c r="H20" s="40" t="n">
        <v>6</v>
      </c>
      <c r="I20" s="28" t="n">
        <v>7500</v>
      </c>
      <c r="J20" s="41" t="n">
        <v>0</v>
      </c>
      <c r="K20" s="28" t="n">
        <v>46292</v>
      </c>
      <c r="L20" s="42">
        <f>IF(B20="","",IF(N(F20)=0,IF(E20="",IF(D20="Founders",'Assumptions &amp; Fixed Costs'!$C$34,'Assumptions &amp; Fixed Costs'!$C$33),E20)+MAX(N(G20)-1,0)*LOOKUP(N(G20),'Assumptions &amp; Fixed Costs'!$B$49:$B$53,'Assumptions &amp; Fixed Costs'!$C$49:$C$53),IF(E20="",IF(D20="Founders",'Assumptions &amp; Fixed Costs'!$C$34,'Assumptions &amp; Fixed Costs'!$C$33),E20)+F20*LOOKUP(F20,'Assumptions &amp; Fixed Costs'!$B$38:$B$45,'Assumptions &amp; Fixed Costs'!$C$38:$C$45)*12+MAX(N(G20)-1,0)*LOOKUP(N(G20),'Assumptions &amp; Fixed Costs'!$B$49:$B$53,'Assumptions &amp; Fixed Costs'!$C$49:$C$53)))</f>
        <v/>
      </c>
      <c r="M20" s="39" t="inlineStr">
        <is>
          <t>Actual</t>
        </is>
      </c>
      <c r="N20" s="28" t="n">
        <v>0</v>
      </c>
      <c r="O20" s="43">
        <f>IF(B20="","",IF(M20="Modeled",L20,IF(N(K20)&gt;0,K20,L20))-N(N20))</f>
        <v/>
      </c>
    </row>
    <row r="21">
      <c r="B21" s="38" t="inlineStr">
        <is>
          <t>John Lyon</t>
        </is>
      </c>
      <c r="C21" s="39" t="inlineStr">
        <is>
          <t>Existing</t>
        </is>
      </c>
      <c r="D21" s="39" t="inlineStr">
        <is>
          <t>Access</t>
        </is>
      </c>
      <c r="E21" s="28" t="n">
        <v>20000</v>
      </c>
      <c r="F21" s="30" t="n">
        <v>300</v>
      </c>
      <c r="G21" s="30" t="n">
        <v>1</v>
      </c>
      <c r="H21" s="40" t="n">
        <v>6</v>
      </c>
      <c r="I21" s="28" t="n">
        <v>0</v>
      </c>
      <c r="J21" s="41" t="n">
        <v>0</v>
      </c>
      <c r="K21" s="28" t="n">
        <v>41600</v>
      </c>
      <c r="L21" s="42">
        <f>IF(B21="","",IF(N(F21)=0,IF(E21="",IF(D21="Founders",'Assumptions &amp; Fixed Costs'!$C$34,'Assumptions &amp; Fixed Costs'!$C$33),E21)+MAX(N(G21)-1,0)*LOOKUP(N(G21),'Assumptions &amp; Fixed Costs'!$B$49:$B$53,'Assumptions &amp; Fixed Costs'!$C$49:$C$53),IF(E21="",IF(D21="Founders",'Assumptions &amp; Fixed Costs'!$C$34,'Assumptions &amp; Fixed Costs'!$C$33),E21)+F21*LOOKUP(F21,'Assumptions &amp; Fixed Costs'!$B$38:$B$45,'Assumptions &amp; Fixed Costs'!$C$38:$C$45)*12+MAX(N(G21)-1,0)*LOOKUP(N(G21),'Assumptions &amp; Fixed Costs'!$B$49:$B$53,'Assumptions &amp; Fixed Costs'!$C$49:$C$53)))</f>
        <v/>
      </c>
      <c r="M21" s="39" t="inlineStr">
        <is>
          <t>Actual</t>
        </is>
      </c>
      <c r="N21" s="28" t="n">
        <v>0</v>
      </c>
      <c r="O21" s="43">
        <f>IF(B21="","",IF(M21="Modeled",L21,IF(N(K21)&gt;0,K21,L21))-N(N21))</f>
        <v/>
      </c>
    </row>
    <row r="22">
      <c r="B22" s="38" t="inlineStr">
        <is>
          <t>AP Financial</t>
        </is>
      </c>
      <c r="C22" s="39" t="inlineStr">
        <is>
          <t>Existing</t>
        </is>
      </c>
      <c r="D22" s="39" t="inlineStr">
        <is>
          <t>Access</t>
        </is>
      </c>
      <c r="E22" s="28" t="n">
        <v>20000</v>
      </c>
      <c r="F22" s="30" t="n">
        <v>20</v>
      </c>
      <c r="G22" s="30" t="n">
        <v>1</v>
      </c>
      <c r="H22" s="40" t="n">
        <v>7</v>
      </c>
      <c r="I22" s="28" t="n">
        <v>0</v>
      </c>
      <c r="J22" s="41" t="n">
        <v>0</v>
      </c>
      <c r="K22" s="28" t="n">
        <v>21680</v>
      </c>
      <c r="L22" s="42">
        <f>IF(B22="","",IF(N(F22)=0,IF(E22="",IF(D22="Founders",'Assumptions &amp; Fixed Costs'!$C$34,'Assumptions &amp; Fixed Costs'!$C$33),E22)+MAX(N(G22)-1,0)*LOOKUP(N(G22),'Assumptions &amp; Fixed Costs'!$B$49:$B$53,'Assumptions &amp; Fixed Costs'!$C$49:$C$53),IF(E22="",IF(D22="Founders",'Assumptions &amp; Fixed Costs'!$C$34,'Assumptions &amp; Fixed Costs'!$C$33),E22)+F22*LOOKUP(F22,'Assumptions &amp; Fixed Costs'!$B$38:$B$45,'Assumptions &amp; Fixed Costs'!$C$38:$C$45)*12+MAX(N(G22)-1,0)*LOOKUP(N(G22),'Assumptions &amp; Fixed Costs'!$B$49:$B$53,'Assumptions &amp; Fixed Costs'!$C$49:$C$53)))</f>
        <v/>
      </c>
      <c r="M22" s="39" t="inlineStr">
        <is>
          <t>Actual</t>
        </is>
      </c>
      <c r="N22" s="28" t="n">
        <v>0</v>
      </c>
      <c r="O22" s="43">
        <f>IF(B22="","",IF(M22="Modeled",L22,IF(N(K22)&gt;0,K22,L22))-N(N22))</f>
        <v/>
      </c>
    </row>
    <row r="23">
      <c r="B23" s="38" t="inlineStr"/>
      <c r="C23" s="39" t="inlineStr"/>
      <c r="D23" s="39" t="inlineStr"/>
      <c r="E23" s="28" t="inlineStr"/>
      <c r="F23" s="30" t="inlineStr"/>
      <c r="G23" s="30" t="inlineStr"/>
      <c r="H23" s="40" t="inlineStr"/>
      <c r="I23" s="28" t="inlineStr"/>
      <c r="J23" s="41" t="inlineStr"/>
      <c r="K23" s="28" t="inlineStr"/>
      <c r="L23" s="42">
        <f>IF(B23="","",IF(N(F23)=0,IF(E23="",IF(D23="Founders",'Assumptions &amp; Fixed Costs'!$C$34,'Assumptions &amp; Fixed Costs'!$C$33),E23)+MAX(N(G23)-1,0)*LOOKUP(N(G23),'Assumptions &amp; Fixed Costs'!$B$49:$B$53,'Assumptions &amp; Fixed Costs'!$C$49:$C$53),IF(E23="",IF(D23="Founders",'Assumptions &amp; Fixed Costs'!$C$34,'Assumptions &amp; Fixed Costs'!$C$33),E23)+F23*LOOKUP(F23,'Assumptions &amp; Fixed Costs'!$B$38:$B$45,'Assumptions &amp; Fixed Costs'!$C$38:$C$45)*12+MAX(N(G23)-1,0)*LOOKUP(N(G23),'Assumptions &amp; Fixed Costs'!$B$49:$B$53,'Assumptions &amp; Fixed Costs'!$C$49:$C$53)))</f>
        <v/>
      </c>
      <c r="M23" s="39" t="inlineStr">
        <is>
          <t>Modeled</t>
        </is>
      </c>
      <c r="N23" s="28" t="inlineStr"/>
      <c r="O23" s="43">
        <f>IF(B23="","",IF(M23="Modeled",L23,IF(N(K23)&gt;0,K23,L23))-N(N23))</f>
        <v/>
      </c>
    </row>
    <row r="24">
      <c r="B24" s="38" t="inlineStr"/>
      <c r="C24" s="39" t="inlineStr"/>
      <c r="D24" s="39" t="inlineStr"/>
      <c r="E24" s="28" t="inlineStr"/>
      <c r="F24" s="30" t="inlineStr"/>
      <c r="G24" s="30" t="inlineStr"/>
      <c r="H24" s="40" t="inlineStr"/>
      <c r="I24" s="28" t="inlineStr"/>
      <c r="J24" s="41" t="inlineStr"/>
      <c r="K24" s="28" t="inlineStr"/>
      <c r="L24" s="42">
        <f>IF(B24="","",IF(N(F24)=0,IF(E24="",IF(D24="Founders",'Assumptions &amp; Fixed Costs'!$C$34,'Assumptions &amp; Fixed Costs'!$C$33),E24)+MAX(N(G24)-1,0)*LOOKUP(N(G24),'Assumptions &amp; Fixed Costs'!$B$49:$B$53,'Assumptions &amp; Fixed Costs'!$C$49:$C$53),IF(E24="",IF(D24="Founders",'Assumptions &amp; Fixed Costs'!$C$34,'Assumptions &amp; Fixed Costs'!$C$33),E24)+F24*LOOKUP(F24,'Assumptions &amp; Fixed Costs'!$B$38:$B$45,'Assumptions &amp; Fixed Costs'!$C$38:$C$45)*12+MAX(N(G24)-1,0)*LOOKUP(N(G24),'Assumptions &amp; Fixed Costs'!$B$49:$B$53,'Assumptions &amp; Fixed Costs'!$C$49:$C$53)))</f>
        <v/>
      </c>
      <c r="M24" s="39" t="inlineStr">
        <is>
          <t>Modeled</t>
        </is>
      </c>
      <c r="N24" s="28" t="inlineStr"/>
      <c r="O24" s="43">
        <f>IF(B24="","",IF(M24="Modeled",L24,IF(N(K24)&gt;0,K24,L24))-N(N24))</f>
        <v/>
      </c>
    </row>
    <row r="25">
      <c r="B25" s="38" t="inlineStr"/>
      <c r="C25" s="39" t="inlineStr"/>
      <c r="D25" s="39" t="inlineStr"/>
      <c r="E25" s="28" t="inlineStr"/>
      <c r="F25" s="30" t="inlineStr"/>
      <c r="G25" s="30" t="inlineStr"/>
      <c r="H25" s="40" t="inlineStr"/>
      <c r="I25" s="28" t="inlineStr"/>
      <c r="J25" s="41" t="inlineStr"/>
      <c r="K25" s="28" t="inlineStr"/>
      <c r="L25" s="42">
        <f>IF(B25="","",IF(N(F25)=0,IF(E25="",IF(D25="Founders",'Assumptions &amp; Fixed Costs'!$C$34,'Assumptions &amp; Fixed Costs'!$C$33),E25)+MAX(N(G25)-1,0)*LOOKUP(N(G25),'Assumptions &amp; Fixed Costs'!$B$49:$B$53,'Assumptions &amp; Fixed Costs'!$C$49:$C$53),IF(E25="",IF(D25="Founders",'Assumptions &amp; Fixed Costs'!$C$34,'Assumptions &amp; Fixed Costs'!$C$33),E25)+F25*LOOKUP(F25,'Assumptions &amp; Fixed Costs'!$B$38:$B$45,'Assumptions &amp; Fixed Costs'!$C$38:$C$45)*12+MAX(N(G25)-1,0)*LOOKUP(N(G25),'Assumptions &amp; Fixed Costs'!$B$49:$B$53,'Assumptions &amp; Fixed Costs'!$C$49:$C$53)))</f>
        <v/>
      </c>
      <c r="M25" s="39" t="inlineStr">
        <is>
          <t>Modeled</t>
        </is>
      </c>
      <c r="N25" s="28" t="inlineStr"/>
      <c r="O25" s="43">
        <f>IF(B25="","",IF(M25="Modeled",L25,IF(N(K25)&gt;0,K25,L25))-N(N25))</f>
        <v/>
      </c>
    </row>
    <row r="26">
      <c r="B26" s="38" t="inlineStr"/>
      <c r="C26" s="39" t="inlineStr"/>
      <c r="D26" s="39" t="inlineStr"/>
      <c r="E26" s="28" t="inlineStr"/>
      <c r="F26" s="30" t="inlineStr"/>
      <c r="G26" s="30" t="inlineStr"/>
      <c r="H26" s="40" t="inlineStr"/>
      <c r="I26" s="28" t="inlineStr"/>
      <c r="J26" s="41" t="inlineStr"/>
      <c r="K26" s="28" t="inlineStr"/>
      <c r="L26" s="42">
        <f>IF(B26="","",IF(N(F26)=0,IF(E26="",IF(D26="Founders",'Assumptions &amp; Fixed Costs'!$C$34,'Assumptions &amp; Fixed Costs'!$C$33),E26)+MAX(N(G26)-1,0)*LOOKUP(N(G26),'Assumptions &amp; Fixed Costs'!$B$49:$B$53,'Assumptions &amp; Fixed Costs'!$C$49:$C$53),IF(E26="",IF(D26="Founders",'Assumptions &amp; Fixed Costs'!$C$34,'Assumptions &amp; Fixed Costs'!$C$33),E26)+F26*LOOKUP(F26,'Assumptions &amp; Fixed Costs'!$B$38:$B$45,'Assumptions &amp; Fixed Costs'!$C$38:$C$45)*12+MAX(N(G26)-1,0)*LOOKUP(N(G26),'Assumptions &amp; Fixed Costs'!$B$49:$B$53,'Assumptions &amp; Fixed Costs'!$C$49:$C$53)))</f>
        <v/>
      </c>
      <c r="M26" s="39" t="inlineStr">
        <is>
          <t>Modeled</t>
        </is>
      </c>
      <c r="N26" s="28" t="inlineStr"/>
      <c r="O26" s="43">
        <f>IF(B26="","",IF(M26="Modeled",L26,IF(N(K26)&gt;0,K26,L26))-N(N26))</f>
        <v/>
      </c>
    </row>
    <row r="27">
      <c r="B27" s="38" t="inlineStr"/>
      <c r="C27" s="39" t="inlineStr"/>
      <c r="D27" s="39" t="inlineStr"/>
      <c r="E27" s="28" t="inlineStr"/>
      <c r="F27" s="30" t="inlineStr"/>
      <c r="G27" s="30" t="inlineStr"/>
      <c r="H27" s="40" t="inlineStr"/>
      <c r="I27" s="28" t="inlineStr"/>
      <c r="J27" s="41" t="inlineStr"/>
      <c r="K27" s="28" t="inlineStr"/>
      <c r="L27" s="42">
        <f>IF(B27="","",IF(N(F27)=0,IF(E27="",IF(D27="Founders",'Assumptions &amp; Fixed Costs'!$C$34,'Assumptions &amp; Fixed Costs'!$C$33),E27)+MAX(N(G27)-1,0)*LOOKUP(N(G27),'Assumptions &amp; Fixed Costs'!$B$49:$B$53,'Assumptions &amp; Fixed Costs'!$C$49:$C$53),IF(E27="",IF(D27="Founders",'Assumptions &amp; Fixed Costs'!$C$34,'Assumptions &amp; Fixed Costs'!$C$33),E27)+F27*LOOKUP(F27,'Assumptions &amp; Fixed Costs'!$B$38:$B$45,'Assumptions &amp; Fixed Costs'!$C$38:$C$45)*12+MAX(N(G27)-1,0)*LOOKUP(N(G27),'Assumptions &amp; Fixed Costs'!$B$49:$B$53,'Assumptions &amp; Fixed Costs'!$C$49:$C$53)))</f>
        <v/>
      </c>
      <c r="M27" s="39" t="inlineStr">
        <is>
          <t>Modeled</t>
        </is>
      </c>
      <c r="N27" s="28" t="inlineStr"/>
      <c r="O27" s="43">
        <f>IF(B27="","",IF(M27="Modeled",L27,IF(N(K27)&gt;0,K27,L27))-N(N27))</f>
        <v/>
      </c>
    </row>
    <row r="28">
      <c r="B28" s="38" t="inlineStr"/>
      <c r="C28" s="39" t="inlineStr"/>
      <c r="D28" s="39" t="inlineStr"/>
      <c r="E28" s="28" t="inlineStr"/>
      <c r="F28" s="30" t="inlineStr"/>
      <c r="G28" s="30" t="inlineStr"/>
      <c r="H28" s="40" t="inlineStr"/>
      <c r="I28" s="28" t="inlineStr"/>
      <c r="J28" s="41" t="inlineStr"/>
      <c r="K28" s="28" t="inlineStr"/>
      <c r="L28" s="42">
        <f>IF(B28="","",IF(N(F28)=0,IF(E28="",IF(D28="Founders",'Assumptions &amp; Fixed Costs'!$C$34,'Assumptions &amp; Fixed Costs'!$C$33),E28)+MAX(N(G28)-1,0)*LOOKUP(N(G28),'Assumptions &amp; Fixed Costs'!$B$49:$B$53,'Assumptions &amp; Fixed Costs'!$C$49:$C$53),IF(E28="",IF(D28="Founders",'Assumptions &amp; Fixed Costs'!$C$34,'Assumptions &amp; Fixed Costs'!$C$33),E28)+F28*LOOKUP(F28,'Assumptions &amp; Fixed Costs'!$B$38:$B$45,'Assumptions &amp; Fixed Costs'!$C$38:$C$45)*12+MAX(N(G28)-1,0)*LOOKUP(N(G28),'Assumptions &amp; Fixed Costs'!$B$49:$B$53,'Assumptions &amp; Fixed Costs'!$C$49:$C$53)))</f>
        <v/>
      </c>
      <c r="M28" s="39" t="inlineStr">
        <is>
          <t>Modeled</t>
        </is>
      </c>
      <c r="N28" s="28" t="inlineStr"/>
      <c r="O28" s="43">
        <f>IF(B28="","",IF(M28="Modeled",L28,IF(N(K28)&gt;0,K28,L28))-N(N28))</f>
        <v/>
      </c>
    </row>
    <row r="29">
      <c r="B29" s="38" t="inlineStr"/>
      <c r="C29" s="39" t="inlineStr"/>
      <c r="D29" s="39" t="inlineStr"/>
      <c r="E29" s="28" t="inlineStr"/>
      <c r="F29" s="30" t="inlineStr"/>
      <c r="G29" s="30" t="inlineStr"/>
      <c r="H29" s="40" t="inlineStr"/>
      <c r="I29" s="28" t="inlineStr"/>
      <c r="J29" s="41" t="inlineStr"/>
      <c r="K29" s="28" t="inlineStr"/>
      <c r="L29" s="42">
        <f>IF(B29="","",IF(N(F29)=0,IF(E29="",IF(D29="Founders",'Assumptions &amp; Fixed Costs'!$C$34,'Assumptions &amp; Fixed Costs'!$C$33),E29)+MAX(N(G29)-1,0)*LOOKUP(N(G29),'Assumptions &amp; Fixed Costs'!$B$49:$B$53,'Assumptions &amp; Fixed Costs'!$C$49:$C$53),IF(E29="",IF(D29="Founders",'Assumptions &amp; Fixed Costs'!$C$34,'Assumptions &amp; Fixed Costs'!$C$33),E29)+F29*LOOKUP(F29,'Assumptions &amp; Fixed Costs'!$B$38:$B$45,'Assumptions &amp; Fixed Costs'!$C$38:$C$45)*12+MAX(N(G29)-1,0)*LOOKUP(N(G29),'Assumptions &amp; Fixed Costs'!$B$49:$B$53,'Assumptions &amp; Fixed Costs'!$C$49:$C$53)))</f>
        <v/>
      </c>
      <c r="M29" s="39" t="inlineStr">
        <is>
          <t>Modeled</t>
        </is>
      </c>
      <c r="N29" s="28" t="inlineStr"/>
      <c r="O29" s="43">
        <f>IF(B29="","",IF(M29="Modeled",L29,IF(N(K29)&gt;0,K29,L29))-N(N29))</f>
        <v/>
      </c>
    </row>
    <row r="30">
      <c r="B30" s="38" t="inlineStr"/>
      <c r="C30" s="39" t="inlineStr"/>
      <c r="D30" s="39" t="inlineStr"/>
      <c r="E30" s="28" t="inlineStr"/>
      <c r="F30" s="30" t="inlineStr"/>
      <c r="G30" s="30" t="inlineStr"/>
      <c r="H30" s="40" t="inlineStr"/>
      <c r="I30" s="28" t="inlineStr"/>
      <c r="J30" s="41" t="inlineStr"/>
      <c r="K30" s="28" t="inlineStr"/>
      <c r="L30" s="42">
        <f>IF(B30="","",IF(N(F30)=0,IF(E30="",IF(D30="Founders",'Assumptions &amp; Fixed Costs'!$C$34,'Assumptions &amp; Fixed Costs'!$C$33),E30)+MAX(N(G30)-1,0)*LOOKUP(N(G30),'Assumptions &amp; Fixed Costs'!$B$49:$B$53,'Assumptions &amp; Fixed Costs'!$C$49:$C$53),IF(E30="",IF(D30="Founders",'Assumptions &amp; Fixed Costs'!$C$34,'Assumptions &amp; Fixed Costs'!$C$33),E30)+F30*LOOKUP(F30,'Assumptions &amp; Fixed Costs'!$B$38:$B$45,'Assumptions &amp; Fixed Costs'!$C$38:$C$45)*12+MAX(N(G30)-1,0)*LOOKUP(N(G30),'Assumptions &amp; Fixed Costs'!$B$49:$B$53,'Assumptions &amp; Fixed Costs'!$C$49:$C$53)))</f>
        <v/>
      </c>
      <c r="M30" s="39" t="inlineStr">
        <is>
          <t>Modeled</t>
        </is>
      </c>
      <c r="N30" s="28" t="inlineStr"/>
      <c r="O30" s="43">
        <f>IF(B30="","",IF(M30="Modeled",L30,IF(N(K30)&gt;0,K30,L30))-N(N30))</f>
        <v/>
      </c>
    </row>
    <row r="31">
      <c r="B31" s="38" t="inlineStr"/>
      <c r="C31" s="39" t="inlineStr"/>
      <c r="D31" s="39" t="inlineStr"/>
      <c r="E31" s="28" t="inlineStr"/>
      <c r="F31" s="30" t="inlineStr"/>
      <c r="G31" s="30" t="inlineStr"/>
      <c r="H31" s="40" t="inlineStr"/>
      <c r="I31" s="28" t="inlineStr"/>
      <c r="J31" s="41" t="inlineStr"/>
      <c r="K31" s="28" t="inlineStr"/>
      <c r="L31" s="42">
        <f>IF(B31="","",IF(N(F31)=0,IF(E31="",IF(D31="Founders",'Assumptions &amp; Fixed Costs'!$C$34,'Assumptions &amp; Fixed Costs'!$C$33),E31)+MAX(N(G31)-1,0)*LOOKUP(N(G31),'Assumptions &amp; Fixed Costs'!$B$49:$B$53,'Assumptions &amp; Fixed Costs'!$C$49:$C$53),IF(E31="",IF(D31="Founders",'Assumptions &amp; Fixed Costs'!$C$34,'Assumptions &amp; Fixed Costs'!$C$33),E31)+F31*LOOKUP(F31,'Assumptions &amp; Fixed Costs'!$B$38:$B$45,'Assumptions &amp; Fixed Costs'!$C$38:$C$45)*12+MAX(N(G31)-1,0)*LOOKUP(N(G31),'Assumptions &amp; Fixed Costs'!$B$49:$B$53,'Assumptions &amp; Fixed Costs'!$C$49:$C$53)))</f>
        <v/>
      </c>
      <c r="M31" s="39" t="inlineStr">
        <is>
          <t>Modeled</t>
        </is>
      </c>
      <c r="N31" s="28" t="inlineStr"/>
      <c r="O31" s="43">
        <f>IF(B31="","",IF(M31="Modeled",L31,IF(N(K31)&gt;0,K31,L31))-N(N31))</f>
        <v/>
      </c>
    </row>
    <row r="32">
      <c r="B32" s="38" t="inlineStr"/>
      <c r="C32" s="39" t="inlineStr"/>
      <c r="D32" s="39" t="inlineStr"/>
      <c r="E32" s="28" t="inlineStr"/>
      <c r="F32" s="30" t="inlineStr"/>
      <c r="G32" s="30" t="inlineStr"/>
      <c r="H32" s="40" t="inlineStr"/>
      <c r="I32" s="28" t="inlineStr"/>
      <c r="J32" s="41" t="inlineStr"/>
      <c r="K32" s="28" t="inlineStr"/>
      <c r="L32" s="42">
        <f>IF(B32="","",IF(N(F32)=0,IF(E32="",IF(D32="Founders",'Assumptions &amp; Fixed Costs'!$C$34,'Assumptions &amp; Fixed Costs'!$C$33),E32)+MAX(N(G32)-1,0)*LOOKUP(N(G32),'Assumptions &amp; Fixed Costs'!$B$49:$B$53,'Assumptions &amp; Fixed Costs'!$C$49:$C$53),IF(E32="",IF(D32="Founders",'Assumptions &amp; Fixed Costs'!$C$34,'Assumptions &amp; Fixed Costs'!$C$33),E32)+F32*LOOKUP(F32,'Assumptions &amp; Fixed Costs'!$B$38:$B$45,'Assumptions &amp; Fixed Costs'!$C$38:$C$45)*12+MAX(N(G32)-1,0)*LOOKUP(N(G32),'Assumptions &amp; Fixed Costs'!$B$49:$B$53,'Assumptions &amp; Fixed Costs'!$C$49:$C$53)))</f>
        <v/>
      </c>
      <c r="M32" s="39" t="inlineStr">
        <is>
          <t>Modeled</t>
        </is>
      </c>
      <c r="N32" s="28" t="inlineStr"/>
      <c r="O32" s="43">
        <f>IF(B32="","",IF(M32="Modeled",L32,IF(N(K32)&gt;0,K32,L32))-N(N32))</f>
        <v/>
      </c>
    </row>
    <row r="33">
      <c r="B33" s="38" t="inlineStr"/>
      <c r="C33" s="39" t="inlineStr"/>
      <c r="D33" s="39" t="inlineStr"/>
      <c r="E33" s="28" t="inlineStr"/>
      <c r="F33" s="30" t="inlineStr"/>
      <c r="G33" s="30" t="inlineStr"/>
      <c r="H33" s="40" t="inlineStr"/>
      <c r="I33" s="28" t="inlineStr"/>
      <c r="J33" s="41" t="inlineStr"/>
      <c r="K33" s="28" t="inlineStr"/>
      <c r="L33" s="42">
        <f>IF(B33="","",IF(N(F33)=0,IF(E33="",IF(D33="Founders",'Assumptions &amp; Fixed Costs'!$C$34,'Assumptions &amp; Fixed Costs'!$C$33),E33)+MAX(N(G33)-1,0)*LOOKUP(N(G33),'Assumptions &amp; Fixed Costs'!$B$49:$B$53,'Assumptions &amp; Fixed Costs'!$C$49:$C$53),IF(E33="",IF(D33="Founders",'Assumptions &amp; Fixed Costs'!$C$34,'Assumptions &amp; Fixed Costs'!$C$33),E33)+F33*LOOKUP(F33,'Assumptions &amp; Fixed Costs'!$B$38:$B$45,'Assumptions &amp; Fixed Costs'!$C$38:$C$45)*12+MAX(N(G33)-1,0)*LOOKUP(N(G33),'Assumptions &amp; Fixed Costs'!$B$49:$B$53,'Assumptions &amp; Fixed Costs'!$C$49:$C$53)))</f>
        <v/>
      </c>
      <c r="M33" s="39" t="inlineStr">
        <is>
          <t>Modeled</t>
        </is>
      </c>
      <c r="N33" s="28" t="inlineStr"/>
      <c r="O33" s="43">
        <f>IF(B33="","",IF(M33="Modeled",L33,IF(N(K33)&gt;0,K33,L33))-N(N33))</f>
        <v/>
      </c>
    </row>
    <row r="34">
      <c r="B34" s="24" t="inlineStr">
        <is>
          <t>TOTALS</t>
        </is>
      </c>
      <c r="C34" s="44">
        <f>COUNTA(B5:B33)</f>
        <v/>
      </c>
      <c r="D34" s="25" t="n"/>
      <c r="E34" s="25" t="n"/>
      <c r="F34" s="45">
        <f>SUM(F5:F33)</f>
        <v/>
      </c>
      <c r="G34" s="45">
        <f>SUM(G5:G33)</f>
        <v/>
      </c>
      <c r="H34" s="25" t="n"/>
      <c r="I34" s="25" t="n"/>
      <c r="J34" s="25" t="n"/>
      <c r="K34" s="25" t="n"/>
      <c r="L34" s="25" t="n"/>
      <c r="M34" s="25" t="n"/>
      <c r="N34" s="46">
        <f>SUM(N5:N33)</f>
        <v/>
      </c>
      <c r="O34" s="26">
        <f>SUM(O5:O33)</f>
        <v/>
      </c>
    </row>
  </sheetData>
  <dataValidations count="3">
    <dataValidation sqref="C5 C6 C7 C8 C9 C10 C11 C12 C13 C14 C15 C16 C17 C18 C19 C20 C21 C22 C23 C24 C25 C26 C27 C28 C29 C30 C31 C32 C33" showDropDown="0" showInputMessage="0" showErrorMessage="0" allowBlank="1" type="list">
      <formula1>"Existing,Prospect"</formula1>
    </dataValidation>
    <dataValidation sqref="D5 D6 D7 D8 D9 D10 D11 D12 D13 D14 D15 D16 D17 D18 D19 D20 D21 D22 D23 D24 D25 D26 D27 D28 D29 D30 D31 D32 D33" showDropDown="0" showInputMessage="0" showErrorMessage="0" allowBlank="1" type="list">
      <formula1>"Access,Founders"</formula1>
    </dataValidation>
    <dataValidation sqref="M5 M6 M7 M8 M9 M10 M11 M12 M13 M14 M15 M16 M17 M18 M19 M20 M21 M22 M23 M24 M25 M26 M27 M28 M29 M30 M31 M32 M33" showDropDown="0" showInputMessage="0" showErrorMessage="0" allowBlank="1" type="list">
      <formula1>"Actual,Modeled"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18" customWidth="1" min="3" max="3"/>
    <col width="4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 ht="24" customHeight="1">
      <c r="B1" s="7" t="inlineStr">
        <is>
          <t>CVP Dashboard &amp; Breakeven</t>
        </is>
      </c>
    </row>
    <row r="3" ht="24" customHeight="1">
      <c r="B3" s="12" t="inlineStr">
        <is>
          <t>FIRM POSITION TODAY</t>
        </is>
      </c>
      <c r="C3" s="13" t="n"/>
    </row>
    <row r="4">
      <c r="B4" s="16" t="inlineStr">
        <is>
          <t>Active offices</t>
        </is>
      </c>
      <c r="C4" s="47">
        <f>'Office Register'!$C$34</f>
        <v/>
      </c>
    </row>
    <row r="5">
      <c r="B5" s="16" t="inlineStr">
        <is>
          <t>Total annual contribution</t>
        </is>
      </c>
      <c r="C5" s="20">
        <f>'Office Register'!$O$34</f>
        <v/>
      </c>
    </row>
    <row r="6">
      <c r="B6" s="16" t="inlineStr">
        <is>
          <t>Total go-forward annual fixed costs</t>
        </is>
      </c>
      <c r="C6" s="20">
        <f>'Assumptions &amp; Fixed Costs'!$F$28</f>
        <v/>
      </c>
    </row>
    <row r="7">
      <c r="B7" s="16" t="inlineStr">
        <is>
          <t>Firm Net Operating Income</t>
        </is>
      </c>
      <c r="C7" s="48">
        <f>'Office Register'!$O$34-'Assumptions &amp; Fixed Costs'!$F$28</f>
        <v/>
      </c>
    </row>
    <row r="8">
      <c r="B8" s="16" t="inlineStr">
        <is>
          <t>Average contribution per office</t>
        </is>
      </c>
      <c r="C8" s="20">
        <f>IF('Office Register'!$C$34=0,0,'Office Register'!$O$34/'Office Register'!$C$34)</f>
        <v/>
      </c>
    </row>
    <row r="10" ht="24" customHeight="1">
      <c r="B10" s="12" t="inlineStr">
        <is>
          <t>BREAKEVEN</t>
        </is>
      </c>
      <c r="C10" s="13" t="n"/>
    </row>
    <row r="11">
      <c r="B11" s="16" t="inlineStr">
        <is>
          <t>Breakeven # of offices (at avg contribution)</t>
        </is>
      </c>
      <c r="C11" s="49">
        <f>IF('CVP Dashboard'!$C$8&lt;=0,"n/a",ROUNDUP('Assumptions &amp; Fixed Costs'!$F$28/'CVP Dashboard'!$C$8,0))</f>
        <v/>
      </c>
    </row>
    <row r="12">
      <c r="B12" s="16" t="inlineStr">
        <is>
          <t>Breakeven contribution required PER OFFICE (at current count)</t>
        </is>
      </c>
      <c r="C12" s="43">
        <f>IF('Office Register'!$C$34=0,"n/a",'Assumptions &amp; Fixed Costs'!$F$28/'Office Register'!$C$34)</f>
        <v/>
      </c>
    </row>
    <row r="13">
      <c r="B13" s="16" t="inlineStr">
        <is>
          <t>Margin of safety (offices above breakeven)</t>
        </is>
      </c>
      <c r="C13" s="49">
        <f>IF('CVP Dashboard'!$C$8&lt;=0,"n/a",'Office Register'!$C$34-ROUNDUP('Assumptions &amp; Fixed Costs'!$F$28/'CVP Dashboard'!$C$8,0))</f>
        <v/>
      </c>
    </row>
    <row r="14">
      <c r="B14" s="16" t="inlineStr">
        <is>
          <t>Contribution margin coverage (contribution ÷ fixed)</t>
        </is>
      </c>
      <c r="C14" s="50">
        <f>IF('Assumptions &amp; Fixed Costs'!$F$28=0,"n/a",'Office Register'!$O$34/'Assumptions &amp; Fixed Costs'!$F$28)</f>
        <v/>
      </c>
    </row>
    <row r="16">
      <c r="B16" s="51" t="inlineStr">
        <is>
          <t>The per-office breakeven requirement (row 12) FALLS as offices are added — fixed costs are shared across more offices. The schedule below shows contribution stacking against the fixed-cost line.</t>
        </is>
      </c>
    </row>
    <row r="17"/>
    <row r="19" ht="24" customHeight="1">
      <c r="E19" s="12" t="inlineStr">
        <is>
          <t>BREAKEVEN-SHIFT SCHEDULE  (as offices are added, at avg contribution)</t>
        </is>
      </c>
      <c r="F19" s="13" t="n"/>
      <c r="G19" s="13" t="n"/>
      <c r="H19" s="13" t="n"/>
    </row>
    <row r="20" ht="28" customHeight="1">
      <c r="E20" s="36" t="inlineStr">
        <is>
          <t># Offices</t>
        </is>
      </c>
      <c r="F20" s="36" t="inlineStr">
        <is>
          <t>Cumulative Contribution</t>
        </is>
      </c>
      <c r="G20" s="36" t="inlineStr">
        <is>
          <t>Fixed Costs</t>
        </is>
      </c>
      <c r="H20" s="36" t="inlineStr">
        <is>
          <t>Net Income</t>
        </is>
      </c>
    </row>
    <row r="21">
      <c r="E21" s="52" t="n">
        <v>1</v>
      </c>
      <c r="F21" s="20">
        <f>E21*'CVP Dashboard'!$C$8</f>
        <v/>
      </c>
      <c r="G21" s="42">
        <f>'Assumptions &amp; Fixed Costs'!$F$28</f>
        <v/>
      </c>
      <c r="H21" s="20">
        <f>F21-G21</f>
        <v/>
      </c>
    </row>
    <row r="22">
      <c r="E22" s="52" t="n">
        <v>2</v>
      </c>
      <c r="F22" s="20">
        <f>E22*'CVP Dashboard'!$C$8</f>
        <v/>
      </c>
      <c r="G22" s="42">
        <f>'Assumptions &amp; Fixed Costs'!$F$28</f>
        <v/>
      </c>
      <c r="H22" s="20">
        <f>F22-G22</f>
        <v/>
      </c>
    </row>
    <row r="23">
      <c r="E23" s="52" t="n">
        <v>3</v>
      </c>
      <c r="F23" s="20">
        <f>E23*'CVP Dashboard'!$C$8</f>
        <v/>
      </c>
      <c r="G23" s="42">
        <f>'Assumptions &amp; Fixed Costs'!$F$28</f>
        <v/>
      </c>
      <c r="H23" s="20">
        <f>F23-G23</f>
        <v/>
      </c>
    </row>
    <row r="24">
      <c r="E24" s="52" t="n">
        <v>4</v>
      </c>
      <c r="F24" s="20">
        <f>E24*'CVP Dashboard'!$C$8</f>
        <v/>
      </c>
      <c r="G24" s="42">
        <f>'Assumptions &amp; Fixed Costs'!$F$28</f>
        <v/>
      </c>
      <c r="H24" s="20">
        <f>F24-G24</f>
        <v/>
      </c>
    </row>
    <row r="25">
      <c r="E25" s="52" t="n">
        <v>5</v>
      </c>
      <c r="F25" s="20">
        <f>E25*'CVP Dashboard'!$C$8</f>
        <v/>
      </c>
      <c r="G25" s="42">
        <f>'Assumptions &amp; Fixed Costs'!$F$28</f>
        <v/>
      </c>
      <c r="H25" s="20">
        <f>F25-G25</f>
        <v/>
      </c>
    </row>
    <row r="26">
      <c r="E26" s="52" t="n">
        <v>6</v>
      </c>
      <c r="F26" s="20">
        <f>E26*'CVP Dashboard'!$C$8</f>
        <v/>
      </c>
      <c r="G26" s="42">
        <f>'Assumptions &amp; Fixed Costs'!$F$28</f>
        <v/>
      </c>
      <c r="H26" s="20">
        <f>F26-G26</f>
        <v/>
      </c>
    </row>
    <row r="27">
      <c r="E27" s="52" t="n">
        <v>7</v>
      </c>
      <c r="F27" s="20">
        <f>E27*'CVP Dashboard'!$C$8</f>
        <v/>
      </c>
      <c r="G27" s="42">
        <f>'Assumptions &amp; Fixed Costs'!$F$28</f>
        <v/>
      </c>
      <c r="H27" s="20">
        <f>F27-G27</f>
        <v/>
      </c>
    </row>
    <row r="28">
      <c r="E28" s="52" t="n">
        <v>8</v>
      </c>
      <c r="F28" s="20">
        <f>E28*'CVP Dashboard'!$C$8</f>
        <v/>
      </c>
      <c r="G28" s="42">
        <f>'Assumptions &amp; Fixed Costs'!$F$28</f>
        <v/>
      </c>
      <c r="H28" s="20">
        <f>F28-G28</f>
        <v/>
      </c>
    </row>
    <row r="29">
      <c r="E29" s="52" t="n">
        <v>9</v>
      </c>
      <c r="F29" s="20">
        <f>E29*'CVP Dashboard'!$C$8</f>
        <v/>
      </c>
      <c r="G29" s="42">
        <f>'Assumptions &amp; Fixed Costs'!$F$28</f>
        <v/>
      </c>
      <c r="H29" s="20">
        <f>F29-G29</f>
        <v/>
      </c>
    </row>
    <row r="30">
      <c r="E30" s="52" t="n">
        <v>10</v>
      </c>
      <c r="F30" s="20">
        <f>E30*'CVP Dashboard'!$C$8</f>
        <v/>
      </c>
      <c r="G30" s="42">
        <f>'Assumptions &amp; Fixed Costs'!$F$28</f>
        <v/>
      </c>
      <c r="H30" s="20">
        <f>F30-G30</f>
        <v/>
      </c>
    </row>
    <row r="31">
      <c r="E31" s="52" t="n">
        <v>11</v>
      </c>
      <c r="F31" s="20">
        <f>E31*'CVP Dashboard'!$C$8</f>
        <v/>
      </c>
      <c r="G31" s="42">
        <f>'Assumptions &amp; Fixed Costs'!$F$28</f>
        <v/>
      </c>
      <c r="H31" s="20">
        <f>F31-G31</f>
        <v/>
      </c>
    </row>
    <row r="32">
      <c r="E32" s="52" t="n">
        <v>12</v>
      </c>
      <c r="F32" s="20">
        <f>E32*'CVP Dashboard'!$C$8</f>
        <v/>
      </c>
      <c r="G32" s="42">
        <f>'Assumptions &amp; Fixed Costs'!$F$28</f>
        <v/>
      </c>
      <c r="H32" s="20">
        <f>F32-G32</f>
        <v/>
      </c>
    </row>
    <row r="33">
      <c r="E33" s="52" t="n">
        <v>13</v>
      </c>
      <c r="F33" s="20">
        <f>E33*'CVP Dashboard'!$C$8</f>
        <v/>
      </c>
      <c r="G33" s="42">
        <f>'Assumptions &amp; Fixed Costs'!$F$28</f>
        <v/>
      </c>
      <c r="H33" s="20">
        <f>F33-G33</f>
        <v/>
      </c>
    </row>
    <row r="34">
      <c r="E34" s="52" t="n">
        <v>14</v>
      </c>
      <c r="F34" s="20">
        <f>E34*'CVP Dashboard'!$C$8</f>
        <v/>
      </c>
      <c r="G34" s="42">
        <f>'Assumptions &amp; Fixed Costs'!$F$28</f>
        <v/>
      </c>
      <c r="H34" s="20">
        <f>F34-G34</f>
        <v/>
      </c>
    </row>
    <row r="35">
      <c r="E35" s="52" t="n">
        <v>15</v>
      </c>
      <c r="F35" s="20">
        <f>E35*'CVP Dashboard'!$C$8</f>
        <v/>
      </c>
      <c r="G35" s="42">
        <f>'Assumptions &amp; Fixed Costs'!$F$28</f>
        <v/>
      </c>
      <c r="H35" s="20">
        <f>F35-G35</f>
        <v/>
      </c>
    </row>
    <row r="36">
      <c r="E36" s="52" t="n">
        <v>16</v>
      </c>
      <c r="F36" s="20">
        <f>E36*'CVP Dashboard'!$C$8</f>
        <v/>
      </c>
      <c r="G36" s="42">
        <f>'Assumptions &amp; Fixed Costs'!$F$28</f>
        <v/>
      </c>
      <c r="H36" s="20">
        <f>F36-G36</f>
        <v/>
      </c>
    </row>
    <row r="37">
      <c r="E37" s="52" t="n">
        <v>17</v>
      </c>
      <c r="F37" s="20">
        <f>E37*'CVP Dashboard'!$C$8</f>
        <v/>
      </c>
      <c r="G37" s="42">
        <f>'Assumptions &amp; Fixed Costs'!$F$28</f>
        <v/>
      </c>
      <c r="H37" s="20">
        <f>F37-G37</f>
        <v/>
      </c>
    </row>
    <row r="38">
      <c r="E38" s="52" t="n">
        <v>18</v>
      </c>
      <c r="F38" s="20">
        <f>E38*'CVP Dashboard'!$C$8</f>
        <v/>
      </c>
      <c r="G38" s="42">
        <f>'Assumptions &amp; Fixed Costs'!$F$28</f>
        <v/>
      </c>
      <c r="H38" s="20">
        <f>F38-G38</f>
        <v/>
      </c>
    </row>
    <row r="39">
      <c r="E39" s="52" t="n">
        <v>19</v>
      </c>
      <c r="F39" s="20">
        <f>E39*'CVP Dashboard'!$C$8</f>
        <v/>
      </c>
      <c r="G39" s="42">
        <f>'Assumptions &amp; Fixed Costs'!$F$28</f>
        <v/>
      </c>
      <c r="H39" s="20">
        <f>F39-G39</f>
        <v/>
      </c>
    </row>
    <row r="40">
      <c r="E40" s="52" t="n">
        <v>20</v>
      </c>
      <c r="F40" s="20">
        <f>E40*'CVP Dashboard'!$C$8</f>
        <v/>
      </c>
      <c r="G40" s="42">
        <f>'Assumptions &amp; Fixed Costs'!$F$28</f>
        <v/>
      </c>
      <c r="H40" s="20">
        <f>F40-G40</f>
        <v/>
      </c>
    </row>
    <row r="41">
      <c r="E41" s="52" t="n">
        <v>21</v>
      </c>
      <c r="F41" s="20">
        <f>E41*'CVP Dashboard'!$C$8</f>
        <v/>
      </c>
      <c r="G41" s="42">
        <f>'Assumptions &amp; Fixed Costs'!$F$28</f>
        <v/>
      </c>
      <c r="H41" s="20">
        <f>F41-G41</f>
        <v/>
      </c>
    </row>
    <row r="42">
      <c r="E42" s="52" t="n">
        <v>22</v>
      </c>
      <c r="F42" s="20">
        <f>E42*'CVP Dashboard'!$C$8</f>
        <v/>
      </c>
      <c r="G42" s="42">
        <f>'Assumptions &amp; Fixed Costs'!$F$28</f>
        <v/>
      </c>
      <c r="H42" s="20">
        <f>F42-G42</f>
        <v/>
      </c>
    </row>
    <row r="43">
      <c r="E43" s="52" t="n">
        <v>23</v>
      </c>
      <c r="F43" s="20">
        <f>E43*'CVP Dashboard'!$C$8</f>
        <v/>
      </c>
      <c r="G43" s="42">
        <f>'Assumptions &amp; Fixed Costs'!$F$28</f>
        <v/>
      </c>
      <c r="H43" s="20">
        <f>F43-G43</f>
        <v/>
      </c>
    </row>
    <row r="44">
      <c r="E44" s="52" t="n">
        <v>24</v>
      </c>
      <c r="F44" s="20">
        <f>E44*'CVP Dashboard'!$C$8</f>
        <v/>
      </c>
      <c r="G44" s="42">
        <f>'Assumptions &amp; Fixed Costs'!$F$28</f>
        <v/>
      </c>
      <c r="H44" s="20">
        <f>F44-G44</f>
        <v/>
      </c>
    </row>
    <row r="45">
      <c r="E45" s="52" t="n">
        <v>25</v>
      </c>
      <c r="F45" s="20">
        <f>E45*'CVP Dashboard'!$C$8</f>
        <v/>
      </c>
      <c r="G45" s="42">
        <f>'Assumptions &amp; Fixed Costs'!$F$28</f>
        <v/>
      </c>
      <c r="H45" s="20">
        <f>F45-G45</f>
        <v/>
      </c>
    </row>
    <row r="46">
      <c r="E46" s="52" t="n">
        <v>26</v>
      </c>
      <c r="F46" s="20">
        <f>E46*'CVP Dashboard'!$C$8</f>
        <v/>
      </c>
      <c r="G46" s="42">
        <f>'Assumptions &amp; Fixed Costs'!$F$28</f>
        <v/>
      </c>
      <c r="H46" s="20">
        <f>F46-G46</f>
        <v/>
      </c>
    </row>
    <row r="47">
      <c r="E47" s="52" t="n">
        <v>27</v>
      </c>
      <c r="F47" s="20">
        <f>E47*'CVP Dashboard'!$C$8</f>
        <v/>
      </c>
      <c r="G47" s="42">
        <f>'Assumptions &amp; Fixed Costs'!$F$28</f>
        <v/>
      </c>
      <c r="H47" s="20">
        <f>F47-G47</f>
        <v/>
      </c>
    </row>
    <row r="48">
      <c r="E48" s="52" t="n">
        <v>28</v>
      </c>
      <c r="F48" s="20">
        <f>E48*'CVP Dashboard'!$C$8</f>
        <v/>
      </c>
      <c r="G48" s="42">
        <f>'Assumptions &amp; Fixed Costs'!$F$28</f>
        <v/>
      </c>
      <c r="H48" s="20">
        <f>F48-G48</f>
        <v/>
      </c>
    </row>
    <row r="49">
      <c r="E49" s="52" t="n">
        <v>29</v>
      </c>
      <c r="F49" s="20">
        <f>E49*'CVP Dashboard'!$C$8</f>
        <v/>
      </c>
      <c r="G49" s="42">
        <f>'Assumptions &amp; Fixed Costs'!$F$28</f>
        <v/>
      </c>
      <c r="H49" s="20">
        <f>F49-G49</f>
        <v/>
      </c>
    </row>
    <row r="50">
      <c r="E50" s="52" t="n">
        <v>30</v>
      </c>
      <c r="F50" s="20">
        <f>E50*'CVP Dashboard'!$C$8</f>
        <v/>
      </c>
      <c r="G50" s="42">
        <f>'Assumptions &amp; Fixed Costs'!$F$28</f>
        <v/>
      </c>
      <c r="H50" s="20">
        <f>F50-G50</f>
        <v/>
      </c>
    </row>
  </sheetData>
  <mergeCells count="4">
    <mergeCell ref="E19:H19"/>
    <mergeCell ref="B3:C3"/>
    <mergeCell ref="B10:C10"/>
    <mergeCell ref="B16:C1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8" customWidth="1" min="3" max="3"/>
    <col width="4" customWidth="1" min="4" max="4"/>
    <col width="40" customWidth="1" min="5" max="5"/>
    <col width="18" customWidth="1" min="6" max="6"/>
  </cols>
  <sheetData>
    <row r="1" ht="24" customHeight="1">
      <c r="B1" s="7" t="inlineStr">
        <is>
          <t>New Office Evaluator</t>
        </is>
      </c>
    </row>
    <row r="2">
      <c r="B2" s="11" t="inlineStr">
        <is>
          <t>Enter a prospective office to price it off the tiered engine and see its marginal impact.</t>
        </is>
      </c>
    </row>
    <row r="4" ht="24" customHeight="1">
      <c r="B4" s="12" t="inlineStr">
        <is>
          <t>PROSPECT INPUTS</t>
        </is>
      </c>
      <c r="C4" s="13" t="n"/>
    </row>
    <row r="5">
      <c r="B5" s="16" t="inlineStr">
        <is>
          <t>Model (Access / Founders)</t>
        </is>
      </c>
      <c r="C5" s="39" t="inlineStr">
        <is>
          <t>Access</t>
        </is>
      </c>
    </row>
    <row r="6">
      <c r="B6" s="16" t="inlineStr">
        <is>
          <t>Base fee (blank = use model default)</t>
        </is>
      </c>
      <c r="C6" s="28" t="inlineStr"/>
    </row>
    <row r="7">
      <c r="B7" s="16" t="inlineStr">
        <is>
          <t>Number of accounts</t>
        </is>
      </c>
      <c r="C7" s="53" t="n">
        <v>150</v>
      </c>
    </row>
    <row r="8">
      <c r="B8" s="16" t="inlineStr">
        <is>
          <t>Number of IARs (advisors)</t>
        </is>
      </c>
      <c r="C8" s="53" t="n">
        <v>1</v>
      </c>
    </row>
    <row r="9">
      <c r="B9" s="16" t="inlineStr">
        <is>
          <t>Cost to serve (annual, variable)</t>
        </is>
      </c>
      <c r="C9" s="28" t="n">
        <v>0</v>
      </c>
    </row>
    <row r="11" ht="24" customHeight="1">
      <c r="B11" s="12" t="inlineStr">
        <is>
          <t>PRICING &amp; CONTRIBUTION</t>
        </is>
      </c>
      <c r="C11" s="13" t="n"/>
    </row>
    <row r="12">
      <c r="B12" s="16" t="inlineStr">
        <is>
          <t>Base platform fee</t>
        </is>
      </c>
      <c r="C12" s="20">
        <f>IF(C6="",IF(C5="Founders",'Assumptions &amp; Fixed Costs'!$C$34,'Assumptions &amp; Fixed Costs'!$C$33),C6)</f>
        <v/>
      </c>
    </row>
    <row r="13">
      <c r="B13" s="16" t="inlineStr">
        <is>
          <t>Per-account revenue (annual)</t>
        </is>
      </c>
      <c r="C13" s="20">
        <f>IF(N(C7)=0,0,C7*LOOKUP(C7,'Assumptions &amp; Fixed Costs'!$B$38:$B$45,'Assumptions &amp; Fixed Costs'!$C$38:$C$45)*12)</f>
        <v/>
      </c>
    </row>
    <row r="14">
      <c r="B14" s="16" t="inlineStr">
        <is>
          <t>Per-advisor revenue (annual)</t>
        </is>
      </c>
      <c r="C14" s="20">
        <f>MAX(N(C8)-1,0)*LOOKUP(N(C8),'Assumptions &amp; Fixed Costs'!$B$49:$B$53,'Assumptions &amp; Fixed Costs'!$C$49:$C$53)</f>
        <v/>
      </c>
    </row>
    <row r="15">
      <c r="B15" s="16" t="inlineStr">
        <is>
          <t>Total revenue to Rossby</t>
        </is>
      </c>
      <c r="C15" s="43">
        <f>IF(C6="",IF(C5="Founders",'Assumptions &amp; Fixed Costs'!$C$34,'Assumptions &amp; Fixed Costs'!$C$33),C6)+IF(N(C7)=0,0,C7*LOOKUP(C7,'Assumptions &amp; Fixed Costs'!$B$38:$B$45,'Assumptions &amp; Fixed Costs'!$C$38:$C$45)*12)+MAX(N(C8)-1,0)*LOOKUP(N(C8),'Assumptions &amp; Fixed Costs'!$B$49:$B$53,'Assumptions &amp; Fixed Costs'!$C$49:$C$53)</f>
        <v/>
      </c>
    </row>
    <row r="16">
      <c r="B16" s="16" t="inlineStr">
        <is>
          <t>Contribution (revenue − cost to serve)</t>
        </is>
      </c>
      <c r="C16" s="54">
        <f>IF(C6="",IF(C5="Founders",'Assumptions &amp; Fixed Costs'!$C$34,'Assumptions &amp; Fixed Costs'!$C$33),C6)+IF(N(C7)=0,0,C7*LOOKUP(C7,'Assumptions &amp; Fixed Costs'!$B$38:$B$45,'Assumptions &amp; Fixed Costs'!$C$38:$C$45)*12)+MAX(N(C8)-1,0)*LOOKUP(N(C8),'Assumptions &amp; Fixed Costs'!$B$49:$B$53,'Assumptions &amp; Fixed Costs'!$C$49:$C$53)-N(C9)</f>
        <v/>
      </c>
    </row>
    <row r="18" ht="24" customHeight="1">
      <c r="B18" s="12" t="inlineStr">
        <is>
          <t>MARGINAL IMPACT ON FIRM</t>
        </is>
      </c>
      <c r="C18" s="13" t="n"/>
    </row>
    <row r="19">
      <c r="B19" s="16" t="inlineStr">
        <is>
          <t>Firm net income BEFORE this office</t>
        </is>
      </c>
      <c r="C19" s="20">
        <f>'CVP Dashboard'!$C$7</f>
        <v/>
      </c>
    </row>
    <row r="20">
      <c r="B20" s="16" t="inlineStr">
        <is>
          <t>Firm net income AFTER this office</t>
        </is>
      </c>
      <c r="C20" s="20">
        <f>'CVP Dashboard'!$C$7+'New Office Evaluator'!$C$16</f>
        <v/>
      </c>
    </row>
    <row r="21">
      <c r="B21" s="16" t="inlineStr">
        <is>
          <t>Change in net income</t>
        </is>
      </c>
      <c r="C21" s="43">
        <f>'New Office Evaluator'!$C$16</f>
        <v/>
      </c>
    </row>
    <row r="22">
      <c r="B22" s="16" t="inlineStr">
        <is>
          <t>Offices after adding this one</t>
        </is>
      </c>
      <c r="C22" s="47">
        <f>'Office Register'!$C$34+1</f>
        <v/>
      </c>
    </row>
    <row r="24">
      <c r="B24" s="51" t="inlineStr">
        <is>
          <t>Because Rossby is already near breakeven, most of a new office's contribution flows straight to net income. Add the office to the Register (Tab 3) to make it permanent.</t>
        </is>
      </c>
    </row>
    <row r="25"/>
  </sheetData>
  <mergeCells count="4">
    <mergeCell ref="B11:C11"/>
    <mergeCell ref="B4:C4"/>
    <mergeCell ref="B18:C18"/>
    <mergeCell ref="B24:C25"/>
  </mergeCells>
  <dataValidations count="1">
    <dataValidation sqref="C5" showDropDown="0" showInputMessage="0" showErrorMessage="0" allowBlank="1" type="list">
      <formula1>"Access,Founders"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2026-07-16T12:04:23Z</dcterms:created>
  <dcterms:modified xsi:type="dcterms:W3CDTF">2026-07-16T12:04:23Z</dcterms:modified>
</cp:coreProperties>
</file>